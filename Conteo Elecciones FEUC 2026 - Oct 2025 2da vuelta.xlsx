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33EB141D-17D5-4ABC-B101-522B13E45F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irectiva FEUC" sheetId="1" r:id="rId1"/>
    <sheet name="Consejería Superior" sheetId="2" r:id="rId2"/>
    <sheet name="Presupuestos Participativ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3" l="1"/>
  <c r="H61" i="3"/>
  <c r="J61" i="3"/>
  <c r="L61" i="3"/>
  <c r="N61" i="3"/>
  <c r="P61" i="3"/>
  <c r="R61" i="3"/>
  <c r="T61" i="3"/>
  <c r="D62" i="2"/>
  <c r="D61" i="3"/>
  <c r="V61" i="3"/>
  <c r="J62" i="1"/>
  <c r="H62" i="1"/>
  <c r="F62" i="1"/>
  <c r="D62" i="1"/>
  <c r="J62" i="2"/>
  <c r="F62" i="2"/>
  <c r="H62" i="2"/>
  <c r="L62" i="2"/>
  <c r="D63" i="1"/>
  <c r="L62" i="1"/>
  <c r="F62" i="3"/>
  <c r="H62" i="3"/>
  <c r="J62" i="3"/>
  <c r="L62" i="3"/>
  <c r="N62" i="3"/>
  <c r="P62" i="3"/>
  <c r="D62" i="3"/>
  <c r="F63" i="2"/>
  <c r="D63" i="2"/>
  <c r="F63" i="1"/>
</calcChain>
</file>

<file path=xl/sharedStrings.xml><?xml version="1.0" encoding="utf-8"?>
<sst xmlns="http://schemas.openxmlformats.org/spreadsheetml/2006/main" count="468" uniqueCount="102">
  <si>
    <t>Campus</t>
  </si>
  <si>
    <t>Territorio</t>
  </si>
  <si>
    <t>Mesa</t>
  </si>
  <si>
    <t>NAU!</t>
  </si>
  <si>
    <t>Amanecer</t>
  </si>
  <si>
    <t>Blancos</t>
  </si>
  <si>
    <t>Nulos</t>
  </si>
  <si>
    <t>Dia 1</t>
  </si>
  <si>
    <t>Dia 2</t>
  </si>
  <si>
    <t>SJ</t>
  </si>
  <si>
    <t>Agronomía y Sistemas Naturales</t>
  </si>
  <si>
    <t>Ing. en RRNN</t>
  </si>
  <si>
    <t>Agronomía 1</t>
  </si>
  <si>
    <t>Agronomía 2</t>
  </si>
  <si>
    <t>CC</t>
  </si>
  <si>
    <t>Ciencias Biológicas</t>
  </si>
  <si>
    <t>CCBB Casa Central 1</t>
  </si>
  <si>
    <t>CCBB San Joaquin 2</t>
  </si>
  <si>
    <t>Ciencias de la Salud</t>
  </si>
  <si>
    <t>Veterinaria</t>
  </si>
  <si>
    <t>Kinesiología</t>
  </si>
  <si>
    <t>Fonoaudiología</t>
  </si>
  <si>
    <t>Terapia Ocupacional</t>
  </si>
  <si>
    <t>Nutrición</t>
  </si>
  <si>
    <t>Ciencias Exactas</t>
  </si>
  <si>
    <t>CCEE 1</t>
  </si>
  <si>
    <t>College</t>
  </si>
  <si>
    <t>College 1</t>
  </si>
  <si>
    <t>College 2</t>
  </si>
  <si>
    <t>College 3</t>
  </si>
  <si>
    <t>LC</t>
  </si>
  <si>
    <t>College 4</t>
  </si>
  <si>
    <t>O</t>
  </si>
  <si>
    <t>College 5</t>
  </si>
  <si>
    <t>Ing. Comercial</t>
  </si>
  <si>
    <t>Comercial 1</t>
  </si>
  <si>
    <t>Comercial 2</t>
  </si>
  <si>
    <t>Comercial 3</t>
  </si>
  <si>
    <t>Comercial 4</t>
  </si>
  <si>
    <t>Comercial 5</t>
  </si>
  <si>
    <t>Comunicaciones</t>
  </si>
  <si>
    <t>Comunicaciones 1</t>
  </si>
  <si>
    <t>Construcción Civil</t>
  </si>
  <si>
    <t>Construcción Civil 1</t>
  </si>
  <si>
    <t>Construcción CIvil 2</t>
  </si>
  <si>
    <t>Derecho</t>
  </si>
  <si>
    <t>Derecho 1</t>
  </si>
  <si>
    <t>Derecho 2</t>
  </si>
  <si>
    <t>Derecho 3</t>
  </si>
  <si>
    <t>Educación</t>
  </si>
  <si>
    <t>Educación 1</t>
  </si>
  <si>
    <t>Educación 2</t>
  </si>
  <si>
    <t>Educación 3</t>
  </si>
  <si>
    <t>Educación 4</t>
  </si>
  <si>
    <t>Educación 5</t>
  </si>
  <si>
    <t>Educación 6</t>
  </si>
  <si>
    <t>Enfermería</t>
  </si>
  <si>
    <t>Enfermería San Joaquin</t>
  </si>
  <si>
    <t>Enfermería Casa Central</t>
  </si>
  <si>
    <t>Gobierno</t>
  </si>
  <si>
    <t>Gobierno 1</t>
  </si>
  <si>
    <t>Humanidades</t>
  </si>
  <si>
    <t>CP, Geografía e Historia</t>
  </si>
  <si>
    <t>Letras y Filosofía</t>
  </si>
  <si>
    <t>Ingeniería</t>
  </si>
  <si>
    <t>Ingeniería 1</t>
  </si>
  <si>
    <t>Ingeniería 2</t>
  </si>
  <si>
    <t>Ingeniería 3</t>
  </si>
  <si>
    <t>Ingeniería 4</t>
  </si>
  <si>
    <t>Ingeniería 5</t>
  </si>
  <si>
    <t>Lo Contador</t>
  </si>
  <si>
    <t>Arquitectura</t>
  </si>
  <si>
    <t>Diseño</t>
  </si>
  <si>
    <t>Medicina</t>
  </si>
  <si>
    <t>Medicina Casa Central 1</t>
  </si>
  <si>
    <t>H. S. d R</t>
  </si>
  <si>
    <t>Medicina Hosp. Sótero del Río</t>
  </si>
  <si>
    <t>Odontología</t>
  </si>
  <si>
    <t>Odontología San Joaquin 1</t>
  </si>
  <si>
    <t>Oriente</t>
  </si>
  <si>
    <t>Oriente 1</t>
  </si>
  <si>
    <t>Oriente 2</t>
  </si>
  <si>
    <t>Psicología</t>
  </si>
  <si>
    <t>Psicología 1</t>
  </si>
  <si>
    <t>Química</t>
  </si>
  <si>
    <t>Química 1</t>
  </si>
  <si>
    <t>Sociales y Teología</t>
  </si>
  <si>
    <t>Sociales 1</t>
  </si>
  <si>
    <t>Sociales 2</t>
  </si>
  <si>
    <t>Sociales 3</t>
  </si>
  <si>
    <t>V</t>
  </si>
  <si>
    <t>Villarica</t>
  </si>
  <si>
    <t>Campus Villarica</t>
  </si>
  <si>
    <t>Total</t>
  </si>
  <si>
    <t>% de válidamente emitidas</t>
  </si>
  <si>
    <t>Trabajos de Invierno CAi</t>
  </si>
  <si>
    <t>Estudiantes por la ESI</t>
  </si>
  <si>
    <t>Animalia UC</t>
  </si>
  <si>
    <t>Escuela Popular Paulo Freire</t>
  </si>
  <si>
    <t>La Obra UC</t>
  </si>
  <si>
    <t>UCeanos</t>
  </si>
  <si>
    <t>Trabajos de Verano Proyecta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</si>
</sst>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285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8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3" xfId="0" applyFill="1" applyBorder="1"/>
    <xf numFmtId="0" fontId="1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8" xfId="0" applyFill="1" applyBorder="1"/>
    <xf numFmtId="0" fontId="0" fillId="5" borderId="2" xfId="0" applyFill="1" applyBorder="1"/>
    <xf numFmtId="0" fontId="1" fillId="0" borderId="0" xfId="0" applyFont="1"/>
    <xf numFmtId="0" fontId="1" fillId="0" borderId="0" xfId="0" applyFont="1" applyAlignment="1">
      <alignment vertical="center"/>
    </xf>
    <xf numFmtId="10" fontId="1" fillId="0" borderId="0" xfId="0" applyNumberFormat="1" applyFont="1"/>
    <xf numFmtId="0" fontId="1" fillId="4" borderId="9" xfId="0" applyFont="1" applyFill="1" applyBorder="1" applyAlignment="1">
      <alignment horizontal="center"/>
    </xf>
    <xf numFmtId="0" fontId="0" fillId="4" borderId="4" xfId="0" applyFill="1" applyBorder="1"/>
    <xf numFmtId="0" fontId="0" fillId="2" borderId="3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0" fontId="1" fillId="6" borderId="8" xfId="0" applyNumberFormat="1" applyFont="1" applyFill="1" applyBorder="1" applyAlignment="1">
      <alignment horizontal="center"/>
    </xf>
    <xf numFmtId="10" fontId="1" fillId="6" borderId="3" xfId="0" applyNumberFormat="1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AC2E6"/>
      <color rgb="FFF285ED"/>
      <color rgb="FFC6E0B4"/>
      <color rgb="FFF4B084"/>
      <color rgb="FFF07373"/>
      <color rgb="FFA25BB3"/>
      <color rgb="FF9C41B0"/>
      <color rgb="FFC2AEC1"/>
      <color rgb="FFED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workbookViewId="0">
      <pane xSplit="3" ySplit="2" topLeftCell="D3" activePane="bottomRight" state="frozen"/>
      <selection pane="bottomRight" activeCell="F9" sqref="F9"/>
      <selection pane="bottomLeft"/>
      <selection pane="topRight"/>
    </sheetView>
  </sheetViews>
  <sheetFormatPr defaultRowHeight="15"/>
  <cols>
    <col min="2" max="2" width="23.42578125" customWidth="1"/>
    <col min="3" max="3" width="32.28515625" customWidth="1"/>
  </cols>
  <sheetData>
    <row r="1" spans="1:17">
      <c r="A1" s="41" t="s">
        <v>0</v>
      </c>
      <c r="B1" s="41" t="s">
        <v>1</v>
      </c>
      <c r="C1" s="41" t="s">
        <v>2</v>
      </c>
      <c r="D1" s="42" t="s">
        <v>3</v>
      </c>
      <c r="E1" s="43"/>
      <c r="F1" s="48" t="s">
        <v>4</v>
      </c>
      <c r="G1" s="49"/>
      <c r="H1" s="46" t="s">
        <v>5</v>
      </c>
      <c r="I1" s="47"/>
      <c r="J1" s="45" t="s">
        <v>6</v>
      </c>
      <c r="K1" s="45"/>
      <c r="L1" s="21"/>
      <c r="M1" s="21"/>
      <c r="N1" s="20"/>
      <c r="O1" s="20"/>
      <c r="P1" s="20"/>
      <c r="Q1" s="20"/>
    </row>
    <row r="2" spans="1:17">
      <c r="A2" s="41"/>
      <c r="B2" s="41"/>
      <c r="C2" s="41"/>
      <c r="D2" s="6" t="s">
        <v>7</v>
      </c>
      <c r="E2" s="7" t="s">
        <v>8</v>
      </c>
      <c r="F2" s="8" t="s">
        <v>7</v>
      </c>
      <c r="G2" s="8" t="s">
        <v>8</v>
      </c>
      <c r="H2" s="13" t="s">
        <v>7</v>
      </c>
      <c r="I2" s="13" t="s">
        <v>8</v>
      </c>
      <c r="J2" s="14" t="s">
        <v>7</v>
      </c>
      <c r="K2" s="14" t="s">
        <v>8</v>
      </c>
      <c r="L2" s="21"/>
      <c r="M2" s="21"/>
      <c r="N2" s="20"/>
      <c r="O2" s="20"/>
      <c r="P2" s="20"/>
      <c r="Q2" s="20"/>
    </row>
    <row r="3" spans="1:17" ht="15" customHeight="1">
      <c r="A3" s="1" t="s">
        <v>9</v>
      </c>
      <c r="B3" s="44" t="s">
        <v>10</v>
      </c>
      <c r="C3" s="1" t="s">
        <v>11</v>
      </c>
      <c r="D3" s="2">
        <v>39</v>
      </c>
      <c r="E3" s="3">
        <v>27</v>
      </c>
      <c r="F3" s="9">
        <v>30</v>
      </c>
      <c r="G3" s="10">
        <v>35</v>
      </c>
      <c r="H3" s="15">
        <v>5</v>
      </c>
      <c r="I3" s="15">
        <v>4</v>
      </c>
      <c r="J3" s="16">
        <v>0</v>
      </c>
      <c r="K3" s="17">
        <v>4</v>
      </c>
    </row>
    <row r="4" spans="1:17">
      <c r="A4" s="1" t="s">
        <v>9</v>
      </c>
      <c r="B4" s="44"/>
      <c r="C4" s="1" t="s">
        <v>12</v>
      </c>
      <c r="D4" s="19">
        <v>57</v>
      </c>
      <c r="E4" s="5">
        <v>75</v>
      </c>
      <c r="F4" s="11">
        <v>43</v>
      </c>
      <c r="G4" s="12">
        <v>44</v>
      </c>
      <c r="H4" s="18">
        <v>4</v>
      </c>
      <c r="I4" s="18">
        <v>5</v>
      </c>
      <c r="J4" s="16">
        <v>2</v>
      </c>
      <c r="K4" s="17">
        <v>1</v>
      </c>
    </row>
    <row r="5" spans="1:17">
      <c r="A5" s="1" t="s">
        <v>9</v>
      </c>
      <c r="B5" s="44"/>
      <c r="C5" s="1" t="s">
        <v>13</v>
      </c>
      <c r="D5" s="4">
        <v>51</v>
      </c>
      <c r="E5" s="5">
        <v>27</v>
      </c>
      <c r="F5" s="11">
        <v>47</v>
      </c>
      <c r="G5" s="12">
        <v>41</v>
      </c>
      <c r="H5" s="18">
        <v>1</v>
      </c>
      <c r="I5" s="18">
        <v>1</v>
      </c>
      <c r="J5" s="16">
        <v>0</v>
      </c>
      <c r="K5" s="17">
        <v>1</v>
      </c>
    </row>
    <row r="6" spans="1:17">
      <c r="A6" s="1" t="s">
        <v>14</v>
      </c>
      <c r="B6" s="41" t="s">
        <v>15</v>
      </c>
      <c r="C6" s="1" t="s">
        <v>16</v>
      </c>
      <c r="D6" s="4">
        <v>30</v>
      </c>
      <c r="E6" s="5">
        <v>12</v>
      </c>
      <c r="F6" s="11">
        <v>105</v>
      </c>
      <c r="G6" s="12">
        <v>46</v>
      </c>
      <c r="H6" s="18">
        <v>3</v>
      </c>
      <c r="I6" s="18">
        <v>4</v>
      </c>
      <c r="J6" s="16">
        <v>4</v>
      </c>
      <c r="K6" s="17">
        <v>3</v>
      </c>
    </row>
    <row r="7" spans="1:17">
      <c r="A7" s="1" t="s">
        <v>9</v>
      </c>
      <c r="B7" s="41"/>
      <c r="C7" s="1" t="s">
        <v>17</v>
      </c>
      <c r="D7" s="4">
        <v>30</v>
      </c>
      <c r="E7" s="5">
        <v>35</v>
      </c>
      <c r="F7" s="11">
        <v>28</v>
      </c>
      <c r="G7" s="12">
        <v>57</v>
      </c>
      <c r="H7" s="18">
        <v>0</v>
      </c>
      <c r="I7" s="18">
        <v>4</v>
      </c>
      <c r="J7" s="16">
        <v>3</v>
      </c>
      <c r="K7" s="17">
        <v>2</v>
      </c>
    </row>
    <row r="8" spans="1:17">
      <c r="A8" s="1" t="s">
        <v>9</v>
      </c>
      <c r="B8" s="41" t="s">
        <v>18</v>
      </c>
      <c r="C8" s="1" t="s">
        <v>19</v>
      </c>
      <c r="D8" s="4">
        <v>85</v>
      </c>
      <c r="E8" s="5">
        <v>29</v>
      </c>
      <c r="F8" s="11">
        <v>37</v>
      </c>
      <c r="G8" s="12">
        <v>19</v>
      </c>
      <c r="H8" s="18">
        <v>1</v>
      </c>
      <c r="I8" s="18">
        <v>7</v>
      </c>
      <c r="J8" s="16">
        <v>6</v>
      </c>
      <c r="K8" s="17">
        <v>3</v>
      </c>
    </row>
    <row r="9" spans="1:17">
      <c r="A9" s="1" t="s">
        <v>9</v>
      </c>
      <c r="B9" s="41"/>
      <c r="C9" s="1" t="s">
        <v>20</v>
      </c>
      <c r="D9" s="4">
        <v>66</v>
      </c>
      <c r="E9" s="5">
        <v>75</v>
      </c>
      <c r="F9" s="11">
        <v>56</v>
      </c>
      <c r="G9" s="12">
        <v>68</v>
      </c>
      <c r="H9" s="18"/>
      <c r="I9" s="18">
        <v>3</v>
      </c>
      <c r="J9" s="16"/>
      <c r="K9" s="17">
        <v>2</v>
      </c>
    </row>
    <row r="10" spans="1:17">
      <c r="A10" s="1" t="s">
        <v>9</v>
      </c>
      <c r="B10" s="41"/>
      <c r="C10" s="1" t="s">
        <v>21</v>
      </c>
      <c r="D10" s="4">
        <v>15</v>
      </c>
      <c r="E10" s="5">
        <v>81</v>
      </c>
      <c r="F10" s="11">
        <v>18</v>
      </c>
      <c r="G10" s="12">
        <v>70</v>
      </c>
      <c r="H10" s="18">
        <v>2</v>
      </c>
      <c r="I10" s="18">
        <v>3</v>
      </c>
      <c r="J10" s="16">
        <v>0</v>
      </c>
      <c r="K10" s="17">
        <v>0</v>
      </c>
    </row>
    <row r="11" spans="1:17">
      <c r="A11" s="1" t="s">
        <v>9</v>
      </c>
      <c r="B11" s="41"/>
      <c r="C11" s="1" t="s">
        <v>22</v>
      </c>
      <c r="D11" s="4">
        <v>90</v>
      </c>
      <c r="E11" s="5">
        <v>60</v>
      </c>
      <c r="F11" s="11">
        <v>38</v>
      </c>
      <c r="G11" s="12">
        <v>25</v>
      </c>
      <c r="H11" s="18">
        <v>0</v>
      </c>
      <c r="I11" s="18">
        <v>2</v>
      </c>
      <c r="J11" s="16">
        <v>3</v>
      </c>
      <c r="K11" s="17">
        <v>0</v>
      </c>
    </row>
    <row r="12" spans="1:17">
      <c r="A12" s="1" t="s">
        <v>9</v>
      </c>
      <c r="B12" s="41"/>
      <c r="C12" s="1" t="s">
        <v>23</v>
      </c>
      <c r="D12" s="16"/>
      <c r="E12" s="18"/>
      <c r="F12" s="16"/>
      <c r="G12" s="17"/>
      <c r="H12" s="18"/>
      <c r="I12" s="18"/>
      <c r="J12" s="16"/>
      <c r="K12" s="17"/>
    </row>
    <row r="13" spans="1:17">
      <c r="A13" s="1" t="s">
        <v>9</v>
      </c>
      <c r="B13" s="1" t="s">
        <v>24</v>
      </c>
      <c r="C13" s="1" t="s">
        <v>25</v>
      </c>
      <c r="D13" s="4">
        <v>77</v>
      </c>
      <c r="E13" s="5">
        <v>60</v>
      </c>
      <c r="F13" s="11">
        <v>136</v>
      </c>
      <c r="G13" s="12">
        <v>112</v>
      </c>
      <c r="H13" s="18">
        <v>11</v>
      </c>
      <c r="I13" s="18">
        <v>11</v>
      </c>
      <c r="J13" s="16">
        <v>3</v>
      </c>
      <c r="K13" s="17">
        <v>10</v>
      </c>
    </row>
    <row r="14" spans="1:17">
      <c r="A14" s="1" t="s">
        <v>9</v>
      </c>
      <c r="B14" s="41" t="s">
        <v>26</v>
      </c>
      <c r="C14" s="1" t="s">
        <v>27</v>
      </c>
      <c r="D14" s="4">
        <v>197</v>
      </c>
      <c r="E14" s="5">
        <v>116</v>
      </c>
      <c r="F14" s="11">
        <v>94</v>
      </c>
      <c r="G14" s="12">
        <v>79</v>
      </c>
      <c r="H14" s="18">
        <v>4</v>
      </c>
      <c r="I14" s="18">
        <v>6</v>
      </c>
      <c r="J14" s="16">
        <v>5</v>
      </c>
      <c r="K14" s="17">
        <v>1</v>
      </c>
    </row>
    <row r="15" spans="1:17">
      <c r="A15" s="1" t="s">
        <v>9</v>
      </c>
      <c r="B15" s="41"/>
      <c r="C15" s="1" t="s">
        <v>28</v>
      </c>
      <c r="D15" s="4">
        <v>102</v>
      </c>
      <c r="E15" s="5">
        <v>107</v>
      </c>
      <c r="F15" s="11">
        <v>34</v>
      </c>
      <c r="G15" s="12">
        <v>29</v>
      </c>
      <c r="H15" s="18">
        <v>8</v>
      </c>
      <c r="I15" s="18">
        <v>11</v>
      </c>
      <c r="J15" s="16">
        <v>4</v>
      </c>
      <c r="K15" s="17">
        <v>7</v>
      </c>
    </row>
    <row r="16" spans="1:17">
      <c r="A16" s="1" t="s">
        <v>14</v>
      </c>
      <c r="B16" s="41"/>
      <c r="C16" s="1" t="s">
        <v>29</v>
      </c>
      <c r="D16" s="4">
        <v>26</v>
      </c>
      <c r="E16" s="5">
        <v>52</v>
      </c>
      <c r="F16" s="11">
        <v>11</v>
      </c>
      <c r="G16" s="12">
        <v>15</v>
      </c>
      <c r="H16" s="18">
        <v>0</v>
      </c>
      <c r="I16" s="18">
        <v>2</v>
      </c>
      <c r="J16" s="16">
        <v>0</v>
      </c>
      <c r="K16" s="17">
        <v>3</v>
      </c>
    </row>
    <row r="17" spans="1:11">
      <c r="A17" s="1" t="s">
        <v>30</v>
      </c>
      <c r="B17" s="41"/>
      <c r="C17" s="1" t="s">
        <v>31</v>
      </c>
      <c r="D17" s="4">
        <v>13</v>
      </c>
      <c r="E17" s="25">
        <v>6</v>
      </c>
      <c r="F17" s="11">
        <v>16</v>
      </c>
      <c r="G17" s="12">
        <v>5</v>
      </c>
      <c r="H17" s="16">
        <v>1</v>
      </c>
      <c r="I17" s="17">
        <v>0</v>
      </c>
      <c r="J17" s="16">
        <v>0</v>
      </c>
      <c r="K17" s="17">
        <v>0</v>
      </c>
    </row>
    <row r="18" spans="1:11">
      <c r="A18" s="1" t="s">
        <v>32</v>
      </c>
      <c r="B18" s="41"/>
      <c r="C18" s="1" t="s">
        <v>33</v>
      </c>
      <c r="D18" s="31">
        <v>0</v>
      </c>
      <c r="E18" s="32"/>
      <c r="F18" s="33">
        <v>3</v>
      </c>
      <c r="G18" s="34"/>
      <c r="H18" s="26">
        <v>0</v>
      </c>
      <c r="I18" s="27"/>
      <c r="J18" s="26">
        <v>0</v>
      </c>
      <c r="K18" s="27"/>
    </row>
    <row r="19" spans="1:11">
      <c r="A19" s="1" t="s">
        <v>9</v>
      </c>
      <c r="B19" s="41" t="s">
        <v>34</v>
      </c>
      <c r="C19" s="1" t="s">
        <v>35</v>
      </c>
      <c r="D19" s="4">
        <v>105</v>
      </c>
      <c r="E19" s="5">
        <v>87</v>
      </c>
      <c r="F19" s="11">
        <v>7</v>
      </c>
      <c r="G19" s="12">
        <v>4</v>
      </c>
      <c r="H19" s="18">
        <v>18</v>
      </c>
      <c r="I19" s="18">
        <v>9</v>
      </c>
      <c r="J19" s="16">
        <v>4</v>
      </c>
      <c r="K19" s="17">
        <v>4</v>
      </c>
    </row>
    <row r="20" spans="1:11">
      <c r="A20" s="1" t="s">
        <v>9</v>
      </c>
      <c r="B20" s="41"/>
      <c r="C20" s="1" t="s">
        <v>36</v>
      </c>
      <c r="D20" s="4">
        <v>132</v>
      </c>
      <c r="E20" s="5">
        <v>73</v>
      </c>
      <c r="F20" s="11">
        <v>4</v>
      </c>
      <c r="G20" s="12">
        <v>3</v>
      </c>
      <c r="H20" s="18">
        <v>14</v>
      </c>
      <c r="I20" s="18">
        <v>8</v>
      </c>
      <c r="J20" s="16">
        <v>13</v>
      </c>
      <c r="K20" s="17">
        <v>2</v>
      </c>
    </row>
    <row r="21" spans="1:11">
      <c r="A21" s="1" t="s">
        <v>9</v>
      </c>
      <c r="B21" s="41"/>
      <c r="C21" s="1" t="s">
        <v>37</v>
      </c>
      <c r="D21" s="4">
        <v>93</v>
      </c>
      <c r="E21" s="5">
        <v>48</v>
      </c>
      <c r="F21" s="11">
        <v>4</v>
      </c>
      <c r="G21" s="12">
        <v>5</v>
      </c>
      <c r="H21" s="18">
        <v>2</v>
      </c>
      <c r="I21" s="18">
        <v>8</v>
      </c>
      <c r="J21" s="16">
        <v>2</v>
      </c>
      <c r="K21" s="17">
        <v>3</v>
      </c>
    </row>
    <row r="22" spans="1:11">
      <c r="A22" s="1" t="s">
        <v>9</v>
      </c>
      <c r="B22" s="41"/>
      <c r="C22" s="1" t="s">
        <v>38</v>
      </c>
      <c r="D22" s="4">
        <v>105</v>
      </c>
      <c r="E22" s="5">
        <v>68</v>
      </c>
      <c r="F22" s="11">
        <v>4</v>
      </c>
      <c r="G22" s="12">
        <v>5</v>
      </c>
      <c r="H22" s="18">
        <v>11</v>
      </c>
      <c r="I22" s="18">
        <v>5</v>
      </c>
      <c r="J22" s="16">
        <v>6</v>
      </c>
      <c r="K22" s="17">
        <v>7</v>
      </c>
    </row>
    <row r="23" spans="1:11">
      <c r="A23" s="1" t="s">
        <v>9</v>
      </c>
      <c r="B23" s="41"/>
      <c r="C23" s="1" t="s">
        <v>39</v>
      </c>
      <c r="D23" s="4">
        <v>61</v>
      </c>
      <c r="E23" s="5">
        <v>47</v>
      </c>
      <c r="F23" s="11">
        <v>7</v>
      </c>
      <c r="G23" s="12">
        <v>6</v>
      </c>
      <c r="H23" s="18">
        <v>8</v>
      </c>
      <c r="I23" s="18">
        <v>4</v>
      </c>
      <c r="J23" s="16">
        <v>8</v>
      </c>
      <c r="K23" s="17">
        <v>2</v>
      </c>
    </row>
    <row r="24" spans="1:11">
      <c r="A24" s="1" t="s">
        <v>14</v>
      </c>
      <c r="B24" s="1" t="s">
        <v>40</v>
      </c>
      <c r="C24" s="1" t="s">
        <v>41</v>
      </c>
      <c r="D24" s="4">
        <v>100</v>
      </c>
      <c r="E24" s="5">
        <v>70</v>
      </c>
      <c r="F24" s="11">
        <v>117</v>
      </c>
      <c r="G24" s="12">
        <v>101</v>
      </c>
      <c r="H24" s="18">
        <v>8</v>
      </c>
      <c r="I24" s="18">
        <v>6</v>
      </c>
      <c r="J24" s="16">
        <v>1</v>
      </c>
      <c r="K24" s="17">
        <v>3</v>
      </c>
    </row>
    <row r="25" spans="1:11">
      <c r="A25" s="1" t="s">
        <v>9</v>
      </c>
      <c r="B25" s="41" t="s">
        <v>42</v>
      </c>
      <c r="C25" s="1" t="s">
        <v>43</v>
      </c>
      <c r="D25" s="4">
        <v>59</v>
      </c>
      <c r="E25" s="5">
        <v>58</v>
      </c>
      <c r="F25" s="11">
        <v>23</v>
      </c>
      <c r="G25" s="12">
        <v>23</v>
      </c>
      <c r="H25" s="18">
        <v>4</v>
      </c>
      <c r="I25" s="18">
        <v>3</v>
      </c>
      <c r="J25" s="16">
        <v>3</v>
      </c>
      <c r="K25" s="17">
        <v>3</v>
      </c>
    </row>
    <row r="26" spans="1:11">
      <c r="A26" s="1" t="s">
        <v>9</v>
      </c>
      <c r="B26" s="41"/>
      <c r="C26" s="1" t="s">
        <v>44</v>
      </c>
      <c r="D26" s="4">
        <v>60</v>
      </c>
      <c r="E26" s="5">
        <v>40</v>
      </c>
      <c r="F26" s="11">
        <v>33</v>
      </c>
      <c r="G26" s="12">
        <v>15</v>
      </c>
      <c r="H26" s="18">
        <v>4</v>
      </c>
      <c r="I26" s="18">
        <v>9</v>
      </c>
      <c r="J26" s="16">
        <v>2</v>
      </c>
      <c r="K26" s="17">
        <v>1</v>
      </c>
    </row>
    <row r="27" spans="1:11">
      <c r="A27" s="1" t="s">
        <v>14</v>
      </c>
      <c r="B27" s="41" t="s">
        <v>45</v>
      </c>
      <c r="C27" s="1" t="s">
        <v>46</v>
      </c>
      <c r="D27" s="4">
        <v>159</v>
      </c>
      <c r="E27" s="5">
        <v>115</v>
      </c>
      <c r="F27" s="11">
        <v>23</v>
      </c>
      <c r="G27" s="12">
        <v>33</v>
      </c>
      <c r="H27" s="18">
        <v>9</v>
      </c>
      <c r="I27" s="18">
        <v>9</v>
      </c>
      <c r="J27" s="16">
        <v>5</v>
      </c>
      <c r="K27" s="17">
        <v>9</v>
      </c>
    </row>
    <row r="28" spans="1:11">
      <c r="A28" s="1" t="s">
        <v>14</v>
      </c>
      <c r="B28" s="41"/>
      <c r="C28" s="1" t="s">
        <v>47</v>
      </c>
      <c r="D28" s="4">
        <v>98</v>
      </c>
      <c r="E28" s="5">
        <v>99</v>
      </c>
      <c r="F28" s="11">
        <v>23</v>
      </c>
      <c r="G28" s="12">
        <v>27</v>
      </c>
      <c r="H28" s="18">
        <v>14</v>
      </c>
      <c r="I28" s="18">
        <v>9</v>
      </c>
      <c r="J28" s="16">
        <v>13</v>
      </c>
      <c r="K28" s="17">
        <v>9</v>
      </c>
    </row>
    <row r="29" spans="1:11">
      <c r="A29" s="1" t="s">
        <v>14</v>
      </c>
      <c r="B29" s="41"/>
      <c r="C29" s="1" t="s">
        <v>48</v>
      </c>
      <c r="D29" s="4">
        <v>45</v>
      </c>
      <c r="E29" s="5">
        <v>60</v>
      </c>
      <c r="F29" s="11">
        <v>12</v>
      </c>
      <c r="G29" s="12">
        <v>10</v>
      </c>
      <c r="H29" s="18">
        <v>1</v>
      </c>
      <c r="I29" s="18">
        <v>4</v>
      </c>
      <c r="J29" s="16">
        <v>4</v>
      </c>
      <c r="K29" s="17">
        <v>6</v>
      </c>
    </row>
    <row r="30" spans="1:11">
      <c r="A30" s="1" t="s">
        <v>9</v>
      </c>
      <c r="B30" s="41" t="s">
        <v>49</v>
      </c>
      <c r="C30" s="1" t="s">
        <v>50</v>
      </c>
      <c r="D30" s="4">
        <v>14</v>
      </c>
      <c r="E30" s="5">
        <v>13</v>
      </c>
      <c r="F30" s="11">
        <v>123</v>
      </c>
      <c r="G30" s="12">
        <v>42</v>
      </c>
      <c r="H30" s="18">
        <v>2</v>
      </c>
      <c r="I30" s="18">
        <v>1</v>
      </c>
      <c r="J30" s="16">
        <v>1</v>
      </c>
      <c r="K30" s="17">
        <v>0</v>
      </c>
    </row>
    <row r="31" spans="1:11">
      <c r="A31" s="1" t="s">
        <v>9</v>
      </c>
      <c r="B31" s="41"/>
      <c r="C31" s="1" t="s">
        <v>51</v>
      </c>
      <c r="D31" s="4">
        <v>40</v>
      </c>
      <c r="E31" s="5">
        <v>29</v>
      </c>
      <c r="F31" s="11">
        <v>71</v>
      </c>
      <c r="G31" s="12">
        <v>109</v>
      </c>
      <c r="H31" s="18">
        <v>2</v>
      </c>
      <c r="I31" s="18">
        <v>1</v>
      </c>
      <c r="J31" s="16">
        <v>3</v>
      </c>
      <c r="K31" s="17">
        <v>9</v>
      </c>
    </row>
    <row r="32" spans="1:11">
      <c r="A32" s="1" t="s">
        <v>9</v>
      </c>
      <c r="B32" s="41"/>
      <c r="C32" s="1" t="s">
        <v>52</v>
      </c>
      <c r="D32" s="4">
        <v>16</v>
      </c>
      <c r="E32" s="5">
        <v>11</v>
      </c>
      <c r="F32" s="11">
        <v>26</v>
      </c>
      <c r="G32" s="12">
        <v>25</v>
      </c>
      <c r="H32" s="18">
        <v>5</v>
      </c>
      <c r="I32" s="18">
        <v>2</v>
      </c>
      <c r="J32" s="16">
        <v>2</v>
      </c>
      <c r="K32" s="17">
        <v>4</v>
      </c>
    </row>
    <row r="33" spans="1:11">
      <c r="A33" s="1" t="s">
        <v>9</v>
      </c>
      <c r="B33" s="41"/>
      <c r="C33" s="1" t="s">
        <v>53</v>
      </c>
      <c r="D33" s="4">
        <v>6</v>
      </c>
      <c r="E33" s="5">
        <v>11</v>
      </c>
      <c r="F33" s="11">
        <v>37</v>
      </c>
      <c r="G33" s="12">
        <v>35</v>
      </c>
      <c r="H33" s="18">
        <v>1</v>
      </c>
      <c r="I33" s="18">
        <v>1</v>
      </c>
      <c r="J33" s="16">
        <v>0</v>
      </c>
      <c r="K33" s="17">
        <v>0</v>
      </c>
    </row>
    <row r="34" spans="1:11">
      <c r="A34" s="1" t="s">
        <v>9</v>
      </c>
      <c r="B34" s="41"/>
      <c r="C34" s="1" t="s">
        <v>54</v>
      </c>
      <c r="D34" s="4">
        <v>42</v>
      </c>
      <c r="E34" s="5">
        <v>39</v>
      </c>
      <c r="F34" s="11">
        <v>109</v>
      </c>
      <c r="G34" s="12">
        <v>93</v>
      </c>
      <c r="H34" s="18">
        <v>0</v>
      </c>
      <c r="I34" s="18">
        <v>3</v>
      </c>
      <c r="J34" s="16">
        <v>0</v>
      </c>
      <c r="K34" s="17">
        <v>2</v>
      </c>
    </row>
    <row r="35" spans="1:11">
      <c r="A35" s="1" t="s">
        <v>9</v>
      </c>
      <c r="B35" s="41"/>
      <c r="C35" s="1" t="s">
        <v>55</v>
      </c>
      <c r="D35" s="4">
        <v>31</v>
      </c>
      <c r="E35" s="5">
        <v>33</v>
      </c>
      <c r="F35" s="11">
        <v>80</v>
      </c>
      <c r="G35" s="12">
        <v>38</v>
      </c>
      <c r="H35" s="18">
        <v>0</v>
      </c>
      <c r="I35" s="18">
        <v>3</v>
      </c>
      <c r="J35" s="16">
        <v>0</v>
      </c>
      <c r="K35" s="17">
        <v>5</v>
      </c>
    </row>
    <row r="36" spans="1:11">
      <c r="A36" s="1" t="s">
        <v>9</v>
      </c>
      <c r="B36" s="41" t="s">
        <v>56</v>
      </c>
      <c r="C36" s="1" t="s">
        <v>57</v>
      </c>
      <c r="D36" s="4">
        <v>123</v>
      </c>
      <c r="E36" s="5">
        <v>40</v>
      </c>
      <c r="F36" s="11">
        <v>60</v>
      </c>
      <c r="G36" s="12">
        <v>33</v>
      </c>
      <c r="H36" s="18">
        <v>1</v>
      </c>
      <c r="I36" s="18">
        <v>8</v>
      </c>
      <c r="J36" s="16">
        <v>2</v>
      </c>
      <c r="K36" s="17">
        <v>0</v>
      </c>
    </row>
    <row r="37" spans="1:11">
      <c r="A37" s="1" t="s">
        <v>14</v>
      </c>
      <c r="B37" s="41"/>
      <c r="C37" s="1" t="s">
        <v>58</v>
      </c>
      <c r="D37" s="31">
        <v>10</v>
      </c>
      <c r="E37" s="32"/>
      <c r="F37" s="33">
        <v>12</v>
      </c>
      <c r="G37" s="34"/>
      <c r="H37" s="26">
        <v>0</v>
      </c>
      <c r="I37" s="27"/>
      <c r="J37" s="26">
        <v>0</v>
      </c>
      <c r="K37" s="27"/>
    </row>
    <row r="38" spans="1:11">
      <c r="A38" s="1" t="s">
        <v>9</v>
      </c>
      <c r="B38" s="1" t="s">
        <v>59</v>
      </c>
      <c r="C38" s="1" t="s">
        <v>60</v>
      </c>
      <c r="D38" s="4">
        <v>43</v>
      </c>
      <c r="E38" s="5">
        <v>8</v>
      </c>
      <c r="F38" s="11">
        <v>99</v>
      </c>
      <c r="G38" s="12">
        <v>29</v>
      </c>
      <c r="H38" s="18">
        <v>5</v>
      </c>
      <c r="I38" s="18">
        <v>2</v>
      </c>
      <c r="J38" s="16">
        <v>4</v>
      </c>
      <c r="K38" s="17">
        <v>1</v>
      </c>
    </row>
    <row r="39" spans="1:11">
      <c r="A39" s="1" t="s">
        <v>9</v>
      </c>
      <c r="B39" s="28" t="s">
        <v>61</v>
      </c>
      <c r="C39" s="1" t="s">
        <v>62</v>
      </c>
      <c r="D39" s="4">
        <v>50</v>
      </c>
      <c r="E39" s="5">
        <v>37</v>
      </c>
      <c r="F39" s="11">
        <v>115</v>
      </c>
      <c r="G39" s="12">
        <v>151</v>
      </c>
      <c r="H39" s="18">
        <v>9</v>
      </c>
      <c r="I39" s="18">
        <v>6</v>
      </c>
      <c r="J39" s="16">
        <v>5</v>
      </c>
      <c r="K39" s="17">
        <v>2</v>
      </c>
    </row>
    <row r="40" spans="1:11">
      <c r="A40" s="1" t="s">
        <v>9</v>
      </c>
      <c r="B40" s="30"/>
      <c r="C40" s="1" t="s">
        <v>63</v>
      </c>
      <c r="D40" s="4">
        <v>65</v>
      </c>
      <c r="E40" s="5">
        <v>40</v>
      </c>
      <c r="F40" s="11">
        <v>104</v>
      </c>
      <c r="G40" s="12">
        <v>74</v>
      </c>
      <c r="H40" s="18">
        <v>6</v>
      </c>
      <c r="I40" s="18">
        <v>5</v>
      </c>
      <c r="J40" s="16">
        <v>1</v>
      </c>
      <c r="K40" s="17">
        <v>6</v>
      </c>
    </row>
    <row r="41" spans="1:11">
      <c r="A41" s="1" t="s">
        <v>9</v>
      </c>
      <c r="B41" s="28" t="s">
        <v>64</v>
      </c>
      <c r="C41" s="1" t="s">
        <v>65</v>
      </c>
      <c r="D41" s="4">
        <v>200</v>
      </c>
      <c r="E41" s="5">
        <v>164</v>
      </c>
      <c r="F41" s="11">
        <v>34</v>
      </c>
      <c r="G41" s="12">
        <v>31</v>
      </c>
      <c r="H41" s="18">
        <v>14</v>
      </c>
      <c r="I41" s="18">
        <v>6</v>
      </c>
      <c r="J41" s="16">
        <v>2</v>
      </c>
      <c r="K41" s="17">
        <v>11</v>
      </c>
    </row>
    <row r="42" spans="1:11">
      <c r="A42" s="1" t="s">
        <v>9</v>
      </c>
      <c r="B42" s="29"/>
      <c r="C42" s="1" t="s">
        <v>66</v>
      </c>
      <c r="D42" s="4">
        <v>156</v>
      </c>
      <c r="E42" s="5">
        <v>108</v>
      </c>
      <c r="F42" s="11">
        <v>30</v>
      </c>
      <c r="G42" s="12">
        <v>21</v>
      </c>
      <c r="H42" s="18">
        <v>11</v>
      </c>
      <c r="I42" s="18">
        <v>8</v>
      </c>
      <c r="J42" s="16">
        <v>6</v>
      </c>
      <c r="K42" s="17">
        <v>12</v>
      </c>
    </row>
    <row r="43" spans="1:11">
      <c r="A43" s="1" t="s">
        <v>9</v>
      </c>
      <c r="B43" s="29"/>
      <c r="C43" s="1" t="s">
        <v>67</v>
      </c>
      <c r="D43" s="4">
        <v>176</v>
      </c>
      <c r="E43" s="5">
        <v>91</v>
      </c>
      <c r="F43" s="11">
        <v>34</v>
      </c>
      <c r="G43" s="12">
        <v>17</v>
      </c>
      <c r="H43" s="18">
        <v>17</v>
      </c>
      <c r="I43" s="18">
        <v>12</v>
      </c>
      <c r="J43" s="16">
        <v>1</v>
      </c>
      <c r="K43" s="17">
        <v>4</v>
      </c>
    </row>
    <row r="44" spans="1:11">
      <c r="A44" s="1" t="s">
        <v>9</v>
      </c>
      <c r="B44" s="29"/>
      <c r="C44" s="1" t="s">
        <v>68</v>
      </c>
      <c r="D44" s="4">
        <v>176</v>
      </c>
      <c r="E44" s="5">
        <v>65</v>
      </c>
      <c r="F44" s="11">
        <v>27</v>
      </c>
      <c r="G44" s="12">
        <v>28</v>
      </c>
      <c r="H44" s="18">
        <v>12</v>
      </c>
      <c r="I44" s="18">
        <v>16</v>
      </c>
      <c r="J44" s="16">
        <v>4</v>
      </c>
      <c r="K44" s="17">
        <v>5</v>
      </c>
    </row>
    <row r="45" spans="1:11">
      <c r="A45" s="1" t="s">
        <v>9</v>
      </c>
      <c r="B45" s="30"/>
      <c r="C45" s="1" t="s">
        <v>69</v>
      </c>
      <c r="D45" s="4">
        <v>156</v>
      </c>
      <c r="E45" s="5">
        <v>139</v>
      </c>
      <c r="F45" s="11">
        <v>39</v>
      </c>
      <c r="G45" s="12">
        <v>46</v>
      </c>
      <c r="H45" s="18">
        <v>16</v>
      </c>
      <c r="I45" s="18">
        <v>15</v>
      </c>
      <c r="J45" s="16">
        <v>13</v>
      </c>
      <c r="K45" s="17">
        <v>14</v>
      </c>
    </row>
    <row r="46" spans="1:11">
      <c r="A46" s="1" t="s">
        <v>30</v>
      </c>
      <c r="B46" s="28" t="s">
        <v>70</v>
      </c>
      <c r="C46" s="1" t="s">
        <v>71</v>
      </c>
      <c r="D46" s="4">
        <v>106</v>
      </c>
      <c r="E46" s="5">
        <v>103</v>
      </c>
      <c r="F46" s="11">
        <v>66</v>
      </c>
      <c r="G46" s="12">
        <v>60</v>
      </c>
      <c r="H46" s="18">
        <v>7</v>
      </c>
      <c r="I46" s="18">
        <v>6</v>
      </c>
      <c r="J46" s="16">
        <v>5</v>
      </c>
      <c r="K46" s="17">
        <v>6</v>
      </c>
    </row>
    <row r="47" spans="1:11">
      <c r="A47" s="1" t="s">
        <v>30</v>
      </c>
      <c r="B47" s="30"/>
      <c r="C47" s="1" t="s">
        <v>72</v>
      </c>
      <c r="D47" s="4">
        <v>59</v>
      </c>
      <c r="E47" s="5">
        <v>88</v>
      </c>
      <c r="F47" s="11">
        <v>171</v>
      </c>
      <c r="G47" s="12">
        <v>162</v>
      </c>
      <c r="H47" s="18">
        <v>3</v>
      </c>
      <c r="I47" s="18">
        <v>3</v>
      </c>
      <c r="J47" s="16">
        <v>1</v>
      </c>
      <c r="K47" s="17">
        <v>7</v>
      </c>
    </row>
    <row r="48" spans="1:11">
      <c r="A48" s="1" t="s">
        <v>14</v>
      </c>
      <c r="B48" s="28" t="s">
        <v>73</v>
      </c>
      <c r="C48" s="1" t="s">
        <v>74</v>
      </c>
      <c r="D48" s="4">
        <v>87</v>
      </c>
      <c r="E48" s="5">
        <v>106</v>
      </c>
      <c r="F48" s="11">
        <v>15</v>
      </c>
      <c r="G48" s="12">
        <v>25</v>
      </c>
      <c r="H48" s="18">
        <v>4</v>
      </c>
      <c r="I48" s="18">
        <v>5</v>
      </c>
      <c r="J48" s="16">
        <v>1</v>
      </c>
      <c r="K48" s="17">
        <v>6</v>
      </c>
    </row>
    <row r="49" spans="1:17">
      <c r="A49" s="1" t="s">
        <v>75</v>
      </c>
      <c r="B49" s="30"/>
      <c r="C49" s="1" t="s">
        <v>76</v>
      </c>
      <c r="D49" s="4">
        <v>27</v>
      </c>
      <c r="E49" s="25">
        <v>8</v>
      </c>
      <c r="F49" s="11">
        <v>12</v>
      </c>
      <c r="G49" s="12">
        <v>0</v>
      </c>
      <c r="H49" s="16">
        <v>4</v>
      </c>
      <c r="I49" s="17">
        <v>1</v>
      </c>
      <c r="J49" s="16">
        <v>3</v>
      </c>
      <c r="K49" s="17">
        <v>2</v>
      </c>
    </row>
    <row r="50" spans="1:17">
      <c r="A50" s="1" t="s">
        <v>9</v>
      </c>
      <c r="B50" s="1" t="s">
        <v>77</v>
      </c>
      <c r="C50" s="1" t="s">
        <v>78</v>
      </c>
      <c r="D50" s="4">
        <v>68</v>
      </c>
      <c r="E50" s="5">
        <v>94</v>
      </c>
      <c r="F50" s="11">
        <v>8</v>
      </c>
      <c r="G50" s="12">
        <v>15</v>
      </c>
      <c r="H50" s="18">
        <v>5</v>
      </c>
      <c r="I50" s="18">
        <v>2</v>
      </c>
      <c r="J50" s="16">
        <v>3</v>
      </c>
      <c r="K50" s="17">
        <v>7</v>
      </c>
    </row>
    <row r="51" spans="1:17">
      <c r="A51" s="1" t="s">
        <v>32</v>
      </c>
      <c r="B51" s="28" t="s">
        <v>79</v>
      </c>
      <c r="C51" s="1" t="s">
        <v>80</v>
      </c>
      <c r="D51" s="4">
        <v>21</v>
      </c>
      <c r="E51" s="5">
        <v>16</v>
      </c>
      <c r="F51" s="11">
        <v>165</v>
      </c>
      <c r="G51" s="12">
        <v>180</v>
      </c>
      <c r="H51" s="18">
        <v>2</v>
      </c>
      <c r="I51" s="18">
        <v>2</v>
      </c>
      <c r="J51" s="16">
        <v>4</v>
      </c>
      <c r="K51" s="17">
        <v>2</v>
      </c>
    </row>
    <row r="52" spans="1:17">
      <c r="A52" s="1" t="s">
        <v>32</v>
      </c>
      <c r="B52" s="30"/>
      <c r="C52" s="1" t="s">
        <v>81</v>
      </c>
      <c r="D52" s="16"/>
      <c r="E52" s="18"/>
      <c r="F52" s="16"/>
      <c r="G52" s="17"/>
      <c r="H52" s="18"/>
      <c r="I52" s="18"/>
      <c r="J52" s="16"/>
      <c r="K52" s="17"/>
    </row>
    <row r="53" spans="1:17">
      <c r="A53" s="1" t="s">
        <v>9</v>
      </c>
      <c r="B53" s="1" t="s">
        <v>82</v>
      </c>
      <c r="C53" s="1" t="s">
        <v>83</v>
      </c>
      <c r="D53" s="4">
        <v>156</v>
      </c>
      <c r="E53" s="5">
        <v>83</v>
      </c>
      <c r="F53" s="11">
        <v>88</v>
      </c>
      <c r="G53" s="12">
        <v>97</v>
      </c>
      <c r="H53" s="18">
        <v>5</v>
      </c>
      <c r="I53" s="18">
        <v>3</v>
      </c>
      <c r="J53" s="16">
        <v>1</v>
      </c>
      <c r="K53" s="17">
        <v>1</v>
      </c>
    </row>
    <row r="54" spans="1:17">
      <c r="A54" s="1" t="s">
        <v>9</v>
      </c>
      <c r="B54" s="1" t="s">
        <v>84</v>
      </c>
      <c r="C54" s="1" t="s">
        <v>85</v>
      </c>
      <c r="D54" s="4">
        <v>50</v>
      </c>
      <c r="E54" s="5">
        <v>44</v>
      </c>
      <c r="F54" s="11">
        <v>103</v>
      </c>
      <c r="G54" s="12">
        <v>84</v>
      </c>
      <c r="H54" s="18">
        <v>2</v>
      </c>
      <c r="I54" s="18">
        <v>4</v>
      </c>
      <c r="J54" s="16">
        <v>4</v>
      </c>
      <c r="K54" s="17">
        <v>2</v>
      </c>
    </row>
    <row r="55" spans="1:17">
      <c r="A55" s="1" t="s">
        <v>9</v>
      </c>
      <c r="B55" s="28" t="s">
        <v>86</v>
      </c>
      <c r="C55" s="1" t="s">
        <v>87</v>
      </c>
      <c r="D55" s="4">
        <v>34</v>
      </c>
      <c r="E55" s="5">
        <v>35</v>
      </c>
      <c r="F55" s="11">
        <v>202</v>
      </c>
      <c r="G55" s="12">
        <v>128</v>
      </c>
      <c r="H55" s="18">
        <v>7</v>
      </c>
      <c r="I55" s="18">
        <v>7</v>
      </c>
      <c r="J55" s="16">
        <v>3</v>
      </c>
      <c r="K55" s="17">
        <v>1</v>
      </c>
    </row>
    <row r="56" spans="1:17">
      <c r="A56" s="1" t="s">
        <v>9</v>
      </c>
      <c r="B56" s="29"/>
      <c r="C56" s="1" t="s">
        <v>88</v>
      </c>
      <c r="D56" s="4">
        <v>42</v>
      </c>
      <c r="E56" s="5">
        <v>20</v>
      </c>
      <c r="F56" s="11">
        <v>59</v>
      </c>
      <c r="G56" s="12">
        <v>39</v>
      </c>
      <c r="H56" s="18">
        <v>2</v>
      </c>
      <c r="I56" s="18">
        <v>1</v>
      </c>
      <c r="J56" s="16">
        <v>2</v>
      </c>
      <c r="K56" s="17">
        <v>0</v>
      </c>
    </row>
    <row r="57" spans="1:17">
      <c r="A57" s="1" t="s">
        <v>9</v>
      </c>
      <c r="B57" s="30"/>
      <c r="C57" s="1" t="s">
        <v>89</v>
      </c>
      <c r="D57" s="4">
        <v>19</v>
      </c>
      <c r="E57" s="5">
        <v>8</v>
      </c>
      <c r="F57" s="11">
        <v>9</v>
      </c>
      <c r="G57" s="12">
        <v>6</v>
      </c>
      <c r="H57" s="18">
        <v>5</v>
      </c>
      <c r="I57" s="18">
        <v>5</v>
      </c>
      <c r="J57" s="16">
        <v>3</v>
      </c>
      <c r="K57" s="17">
        <v>3</v>
      </c>
    </row>
    <row r="58" spans="1:17">
      <c r="A58" s="1" t="s">
        <v>90</v>
      </c>
      <c r="B58" s="1" t="s">
        <v>91</v>
      </c>
      <c r="C58" s="1" t="s">
        <v>92</v>
      </c>
      <c r="D58" s="31">
        <v>35</v>
      </c>
      <c r="E58" s="32"/>
      <c r="F58" s="33">
        <v>107</v>
      </c>
      <c r="G58" s="34"/>
      <c r="H58" s="26">
        <v>9</v>
      </c>
      <c r="I58" s="27"/>
      <c r="J58" s="26">
        <v>2</v>
      </c>
      <c r="K58" s="27"/>
    </row>
    <row r="61" spans="1:17">
      <c r="A61" s="40"/>
      <c r="B61" s="40"/>
      <c r="C61" s="40"/>
    </row>
    <row r="62" spans="1:17">
      <c r="A62" s="40" t="s">
        <v>93</v>
      </c>
      <c r="B62" s="40"/>
      <c r="C62" s="40"/>
      <c r="D62" s="40">
        <f>SUM(D3:E58)</f>
        <v>6863</v>
      </c>
      <c r="E62" s="40"/>
      <c r="F62" s="40">
        <f t="shared" ref="F62:K62" si="0">SUM(F3:G58)</f>
        <v>5403</v>
      </c>
      <c r="G62" s="40"/>
      <c r="H62" s="40">
        <f t="shared" ref="H62:K62" si="1">SUM(H3:I58)</f>
        <v>554</v>
      </c>
      <c r="I62" s="40"/>
      <c r="J62" s="40">
        <f>SUM(J3:K58)</f>
        <v>365</v>
      </c>
      <c r="K62" s="40"/>
      <c r="L62">
        <f>D62+F62+H62+J62</f>
        <v>13185</v>
      </c>
    </row>
    <row r="63" spans="1:17">
      <c r="A63" s="35" t="s">
        <v>94</v>
      </c>
      <c r="B63" s="36"/>
      <c r="C63" s="36"/>
      <c r="D63" s="37">
        <f>D62/(SUM($D$62:$G$62))</f>
        <v>0.55951410402739277</v>
      </c>
      <c r="E63" s="37"/>
      <c r="F63" s="37">
        <f>F62/(SUM($D$62:$G$62))</f>
        <v>0.44048589597260723</v>
      </c>
      <c r="G63" s="38"/>
      <c r="H63" s="39"/>
      <c r="I63" s="39"/>
      <c r="J63" s="39"/>
      <c r="K63" s="39"/>
      <c r="L63" s="22"/>
      <c r="M63" s="22"/>
      <c r="N63" s="20"/>
      <c r="O63" s="20"/>
      <c r="P63" s="20"/>
      <c r="Q63" s="20"/>
    </row>
  </sheetData>
  <mergeCells count="45">
    <mergeCell ref="J1:K1"/>
    <mergeCell ref="D18:E18"/>
    <mergeCell ref="J18:K18"/>
    <mergeCell ref="F18:G18"/>
    <mergeCell ref="H18:I18"/>
    <mergeCell ref="H1:I1"/>
    <mergeCell ref="F1:G1"/>
    <mergeCell ref="A61:C61"/>
    <mergeCell ref="A1:A2"/>
    <mergeCell ref="B1:B2"/>
    <mergeCell ref="C1:C2"/>
    <mergeCell ref="D1:E1"/>
    <mergeCell ref="B30:B35"/>
    <mergeCell ref="B36:B37"/>
    <mergeCell ref="B19:B23"/>
    <mergeCell ref="B25:B26"/>
    <mergeCell ref="B27:B29"/>
    <mergeCell ref="B3:B5"/>
    <mergeCell ref="B6:B7"/>
    <mergeCell ref="B8:B12"/>
    <mergeCell ref="B14:B18"/>
    <mergeCell ref="A62:C62"/>
    <mergeCell ref="D62:E62"/>
    <mergeCell ref="F62:G62"/>
    <mergeCell ref="H62:I62"/>
    <mergeCell ref="J62:K62"/>
    <mergeCell ref="A63:C63"/>
    <mergeCell ref="D63:E63"/>
    <mergeCell ref="F63:G63"/>
    <mergeCell ref="H63:I63"/>
    <mergeCell ref="J63:K63"/>
    <mergeCell ref="J37:K37"/>
    <mergeCell ref="B55:B57"/>
    <mergeCell ref="D58:E58"/>
    <mergeCell ref="F58:G58"/>
    <mergeCell ref="H58:I58"/>
    <mergeCell ref="J58:K58"/>
    <mergeCell ref="B48:B49"/>
    <mergeCell ref="B51:B52"/>
    <mergeCell ref="B39:B40"/>
    <mergeCell ref="B41:B45"/>
    <mergeCell ref="B46:B47"/>
    <mergeCell ref="D37:E37"/>
    <mergeCell ref="F37:G37"/>
    <mergeCell ref="H37:I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471A-436B-4C19-8D77-4CE747567522}">
  <dimension ref="A1:O63"/>
  <sheetViews>
    <sheetView workbookViewId="0">
      <pane xSplit="3" ySplit="2" topLeftCell="D5" activePane="bottomRight" state="frozen"/>
      <selection pane="bottomRight"/>
      <selection pane="bottomLeft"/>
      <selection pane="topRight"/>
    </sheetView>
  </sheetViews>
  <sheetFormatPr defaultRowHeight="15"/>
  <cols>
    <col min="2" max="2" width="23.42578125" customWidth="1"/>
    <col min="3" max="3" width="32.28515625" customWidth="1"/>
  </cols>
  <sheetData>
    <row r="1" spans="1:11">
      <c r="A1" s="41" t="s">
        <v>0</v>
      </c>
      <c r="B1" s="41" t="s">
        <v>1</v>
      </c>
      <c r="C1" s="41" t="s">
        <v>2</v>
      </c>
      <c r="D1" s="42" t="s">
        <v>3</v>
      </c>
      <c r="E1" s="43"/>
      <c r="F1" s="48" t="s">
        <v>4</v>
      </c>
      <c r="G1" s="49"/>
      <c r="H1" s="46" t="s">
        <v>5</v>
      </c>
      <c r="I1" s="47"/>
      <c r="J1" s="45" t="s">
        <v>6</v>
      </c>
      <c r="K1" s="45"/>
    </row>
    <row r="2" spans="1:11">
      <c r="A2" s="41"/>
      <c r="B2" s="41"/>
      <c r="C2" s="41"/>
      <c r="D2" s="6" t="s">
        <v>7</v>
      </c>
      <c r="E2" s="7" t="s">
        <v>8</v>
      </c>
      <c r="F2" s="8" t="s">
        <v>7</v>
      </c>
      <c r="G2" s="8" t="s">
        <v>8</v>
      </c>
      <c r="H2" s="13" t="s">
        <v>7</v>
      </c>
      <c r="I2" s="13" t="s">
        <v>8</v>
      </c>
      <c r="J2" s="14" t="s">
        <v>7</v>
      </c>
      <c r="K2" s="14" t="s">
        <v>8</v>
      </c>
    </row>
    <row r="3" spans="1:11" ht="15" customHeight="1">
      <c r="A3" s="1" t="s">
        <v>9</v>
      </c>
      <c r="B3" s="44" t="s">
        <v>10</v>
      </c>
      <c r="C3" s="1" t="s">
        <v>11</v>
      </c>
      <c r="D3" s="2">
        <v>42</v>
      </c>
      <c r="E3" s="3">
        <v>28</v>
      </c>
      <c r="F3" s="9">
        <v>25</v>
      </c>
      <c r="G3" s="10">
        <v>35</v>
      </c>
      <c r="H3" s="15">
        <v>7</v>
      </c>
      <c r="I3" s="15">
        <v>4</v>
      </c>
      <c r="J3" s="16">
        <v>0</v>
      </c>
      <c r="K3" s="17">
        <v>3</v>
      </c>
    </row>
    <row r="4" spans="1:11">
      <c r="A4" s="1" t="s">
        <v>9</v>
      </c>
      <c r="B4" s="44"/>
      <c r="C4" s="1" t="s">
        <v>12</v>
      </c>
      <c r="D4" s="19">
        <v>55</v>
      </c>
      <c r="E4" s="5">
        <v>73</v>
      </c>
      <c r="F4" s="11">
        <v>43</v>
      </c>
      <c r="G4" s="12">
        <v>45</v>
      </c>
      <c r="H4" s="18">
        <v>7</v>
      </c>
      <c r="I4" s="18">
        <v>6</v>
      </c>
      <c r="J4" s="16">
        <v>1</v>
      </c>
      <c r="K4" s="17">
        <v>1</v>
      </c>
    </row>
    <row r="5" spans="1:11">
      <c r="A5" s="1" t="s">
        <v>9</v>
      </c>
      <c r="B5" s="44"/>
      <c r="C5" s="1" t="s">
        <v>13</v>
      </c>
      <c r="D5" s="4">
        <v>43</v>
      </c>
      <c r="E5" s="5">
        <v>27</v>
      </c>
      <c r="F5" s="11">
        <v>54</v>
      </c>
      <c r="G5" s="12">
        <v>39</v>
      </c>
      <c r="H5" s="18">
        <v>2</v>
      </c>
      <c r="I5" s="18">
        <v>3</v>
      </c>
      <c r="J5" s="16">
        <v>0</v>
      </c>
      <c r="K5" s="17">
        <v>1</v>
      </c>
    </row>
    <row r="6" spans="1:11">
      <c r="A6" s="1" t="s">
        <v>14</v>
      </c>
      <c r="B6" s="41" t="s">
        <v>15</v>
      </c>
      <c r="C6" s="1" t="s">
        <v>16</v>
      </c>
      <c r="D6" s="4">
        <v>34</v>
      </c>
      <c r="E6" s="5">
        <v>12</v>
      </c>
      <c r="F6" s="11">
        <v>100</v>
      </c>
      <c r="G6" s="12">
        <v>45</v>
      </c>
      <c r="H6" s="18">
        <v>4</v>
      </c>
      <c r="I6" s="18">
        <v>5</v>
      </c>
      <c r="J6" s="16">
        <v>4</v>
      </c>
      <c r="K6" s="17">
        <v>3</v>
      </c>
    </row>
    <row r="7" spans="1:11">
      <c r="A7" s="1" t="s">
        <v>9</v>
      </c>
      <c r="B7" s="41"/>
      <c r="C7" s="1" t="s">
        <v>17</v>
      </c>
      <c r="D7" s="4">
        <v>35</v>
      </c>
      <c r="E7" s="5">
        <v>35</v>
      </c>
      <c r="F7" s="11">
        <v>22</v>
      </c>
      <c r="G7" s="12">
        <v>59</v>
      </c>
      <c r="H7" s="18">
        <v>1</v>
      </c>
      <c r="I7" s="18">
        <v>4</v>
      </c>
      <c r="J7" s="16">
        <v>3</v>
      </c>
      <c r="K7" s="17">
        <v>2</v>
      </c>
    </row>
    <row r="8" spans="1:11">
      <c r="A8" s="1" t="s">
        <v>9</v>
      </c>
      <c r="B8" s="41" t="s">
        <v>18</v>
      </c>
      <c r="C8" s="1" t="s">
        <v>19</v>
      </c>
      <c r="D8" s="4">
        <v>82</v>
      </c>
      <c r="E8" s="5">
        <v>33</v>
      </c>
      <c r="F8" s="11">
        <v>38</v>
      </c>
      <c r="G8" s="12">
        <v>15</v>
      </c>
      <c r="H8" s="18">
        <v>3</v>
      </c>
      <c r="I8" s="18">
        <v>7</v>
      </c>
      <c r="J8" s="16">
        <v>6</v>
      </c>
      <c r="K8" s="17">
        <v>3</v>
      </c>
    </row>
    <row r="9" spans="1:11">
      <c r="A9" s="1" t="s">
        <v>9</v>
      </c>
      <c r="B9" s="41"/>
      <c r="C9" s="1" t="s">
        <v>20</v>
      </c>
      <c r="D9" s="4">
        <v>60</v>
      </c>
      <c r="E9" s="5">
        <v>72</v>
      </c>
      <c r="F9" s="11">
        <v>62</v>
      </c>
      <c r="G9" s="12">
        <v>72</v>
      </c>
      <c r="H9" s="18">
        <v>1</v>
      </c>
      <c r="I9" s="18">
        <v>3</v>
      </c>
      <c r="J9" s="16">
        <v>1</v>
      </c>
      <c r="K9" s="17">
        <v>1</v>
      </c>
    </row>
    <row r="10" spans="1:11">
      <c r="A10" s="1" t="s">
        <v>9</v>
      </c>
      <c r="B10" s="41"/>
      <c r="C10" s="1" t="s">
        <v>21</v>
      </c>
      <c r="D10" s="4">
        <v>18</v>
      </c>
      <c r="E10" s="5">
        <v>88</v>
      </c>
      <c r="F10" s="11">
        <v>15</v>
      </c>
      <c r="G10" s="12">
        <v>63</v>
      </c>
      <c r="H10" s="18">
        <v>2</v>
      </c>
      <c r="I10" s="18">
        <v>3</v>
      </c>
      <c r="J10" s="16">
        <v>0</v>
      </c>
      <c r="K10" s="17">
        <v>0</v>
      </c>
    </row>
    <row r="11" spans="1:11">
      <c r="A11" s="1" t="s">
        <v>9</v>
      </c>
      <c r="B11" s="41"/>
      <c r="C11" s="1" t="s">
        <v>22</v>
      </c>
      <c r="D11" s="4">
        <v>90</v>
      </c>
      <c r="E11" s="5">
        <v>60</v>
      </c>
      <c r="F11" s="11">
        <v>36</v>
      </c>
      <c r="G11" s="12">
        <v>24</v>
      </c>
      <c r="H11" s="18">
        <v>2</v>
      </c>
      <c r="I11" s="18">
        <v>3</v>
      </c>
      <c r="J11" s="16">
        <v>3</v>
      </c>
      <c r="K11" s="17">
        <v>0</v>
      </c>
    </row>
    <row r="12" spans="1:11">
      <c r="A12" s="1" t="s">
        <v>9</v>
      </c>
      <c r="B12" s="41"/>
      <c r="C12" s="1" t="s">
        <v>23</v>
      </c>
      <c r="D12" s="16"/>
      <c r="E12" s="18"/>
      <c r="F12" s="16"/>
      <c r="G12" s="17"/>
      <c r="H12" s="18"/>
      <c r="I12" s="18"/>
      <c r="J12" s="16"/>
      <c r="K12" s="17"/>
    </row>
    <row r="13" spans="1:11">
      <c r="A13" s="1" t="s">
        <v>9</v>
      </c>
      <c r="B13" s="1" t="s">
        <v>24</v>
      </c>
      <c r="C13" s="1" t="s">
        <v>25</v>
      </c>
      <c r="D13" s="4">
        <v>86</v>
      </c>
      <c r="E13" s="5">
        <v>69</v>
      </c>
      <c r="F13" s="11">
        <v>128</v>
      </c>
      <c r="G13" s="12">
        <v>106</v>
      </c>
      <c r="H13" s="18">
        <v>10</v>
      </c>
      <c r="I13" s="18">
        <v>9</v>
      </c>
      <c r="J13" s="16">
        <v>3</v>
      </c>
      <c r="K13" s="17">
        <v>9</v>
      </c>
    </row>
    <row r="14" spans="1:11">
      <c r="A14" s="1" t="s">
        <v>9</v>
      </c>
      <c r="B14" s="41" t="s">
        <v>26</v>
      </c>
      <c r="C14" s="1" t="s">
        <v>27</v>
      </c>
      <c r="D14" s="4">
        <v>213</v>
      </c>
      <c r="E14" s="5">
        <v>121</v>
      </c>
      <c r="F14" s="11">
        <v>79</v>
      </c>
      <c r="G14" s="12">
        <v>71</v>
      </c>
      <c r="H14" s="18">
        <v>4</v>
      </c>
      <c r="I14" s="18">
        <v>10</v>
      </c>
      <c r="J14" s="16">
        <v>4</v>
      </c>
      <c r="K14" s="17">
        <v>1</v>
      </c>
    </row>
    <row r="15" spans="1:11">
      <c r="A15" s="1" t="s">
        <v>9</v>
      </c>
      <c r="B15" s="41"/>
      <c r="C15" s="1" t="s">
        <v>28</v>
      </c>
      <c r="D15" s="4">
        <v>98</v>
      </c>
      <c r="E15" s="5">
        <v>107</v>
      </c>
      <c r="F15" s="11">
        <v>31</v>
      </c>
      <c r="G15" s="12">
        <v>27</v>
      </c>
      <c r="H15" s="18">
        <v>14</v>
      </c>
      <c r="I15" s="18">
        <v>15</v>
      </c>
      <c r="J15" s="16">
        <v>5</v>
      </c>
      <c r="K15" s="17">
        <v>5</v>
      </c>
    </row>
    <row r="16" spans="1:11">
      <c r="A16" s="1" t="s">
        <v>14</v>
      </c>
      <c r="B16" s="41"/>
      <c r="C16" s="1" t="s">
        <v>29</v>
      </c>
      <c r="D16" s="4">
        <v>23</v>
      </c>
      <c r="E16" s="5">
        <v>48</v>
      </c>
      <c r="F16" s="11">
        <v>14</v>
      </c>
      <c r="G16" s="12">
        <v>20</v>
      </c>
      <c r="H16" s="18">
        <v>0</v>
      </c>
      <c r="I16" s="18">
        <v>2</v>
      </c>
      <c r="J16" s="16">
        <v>0</v>
      </c>
      <c r="K16" s="17">
        <v>2</v>
      </c>
    </row>
    <row r="17" spans="1:11">
      <c r="A17" s="1" t="s">
        <v>30</v>
      </c>
      <c r="B17" s="41"/>
      <c r="C17" s="1" t="s">
        <v>31</v>
      </c>
      <c r="D17" s="4">
        <v>15</v>
      </c>
      <c r="E17" s="25">
        <v>6</v>
      </c>
      <c r="F17" s="11">
        <v>14</v>
      </c>
      <c r="G17" s="12">
        <v>5</v>
      </c>
      <c r="H17" s="16">
        <v>0</v>
      </c>
      <c r="I17" s="17">
        <v>0</v>
      </c>
      <c r="J17" s="16">
        <v>1</v>
      </c>
      <c r="K17" s="17">
        <v>0</v>
      </c>
    </row>
    <row r="18" spans="1:11">
      <c r="A18" s="1" t="s">
        <v>32</v>
      </c>
      <c r="B18" s="41"/>
      <c r="C18" s="1" t="s">
        <v>33</v>
      </c>
      <c r="D18" s="31">
        <v>0</v>
      </c>
      <c r="E18" s="32"/>
      <c r="F18" s="33">
        <v>3</v>
      </c>
      <c r="G18" s="34"/>
      <c r="H18" s="26">
        <v>0</v>
      </c>
      <c r="I18" s="27"/>
      <c r="J18" s="26">
        <v>0</v>
      </c>
      <c r="K18" s="27"/>
    </row>
    <row r="19" spans="1:11">
      <c r="A19" s="1" t="s">
        <v>9</v>
      </c>
      <c r="B19" s="41" t="s">
        <v>34</v>
      </c>
      <c r="C19" s="1" t="s">
        <v>35</v>
      </c>
      <c r="D19" s="4">
        <v>99</v>
      </c>
      <c r="E19" s="5">
        <v>83</v>
      </c>
      <c r="F19" s="11">
        <v>9</v>
      </c>
      <c r="G19" s="12">
        <v>4</v>
      </c>
      <c r="H19" s="18">
        <v>22</v>
      </c>
      <c r="I19" s="18">
        <v>12</v>
      </c>
      <c r="J19" s="16">
        <v>4</v>
      </c>
      <c r="K19" s="17">
        <v>5</v>
      </c>
    </row>
    <row r="20" spans="1:11">
      <c r="A20" s="1" t="s">
        <v>9</v>
      </c>
      <c r="B20" s="41"/>
      <c r="C20" s="1" t="s">
        <v>36</v>
      </c>
      <c r="D20" s="4">
        <v>133</v>
      </c>
      <c r="E20" s="5">
        <v>66</v>
      </c>
      <c r="F20" s="11">
        <v>3</v>
      </c>
      <c r="G20" s="12">
        <v>2</v>
      </c>
      <c r="H20" s="18">
        <v>15</v>
      </c>
      <c r="I20" s="18">
        <v>15</v>
      </c>
      <c r="J20" s="16">
        <v>12</v>
      </c>
      <c r="K20" s="17">
        <v>3</v>
      </c>
    </row>
    <row r="21" spans="1:11">
      <c r="A21" s="1" t="s">
        <v>9</v>
      </c>
      <c r="B21" s="41"/>
      <c r="C21" s="1" t="s">
        <v>37</v>
      </c>
      <c r="D21" s="4">
        <v>88</v>
      </c>
      <c r="E21" s="5">
        <v>45</v>
      </c>
      <c r="F21" s="11">
        <v>4</v>
      </c>
      <c r="G21" s="12">
        <v>9</v>
      </c>
      <c r="H21" s="18">
        <v>3</v>
      </c>
      <c r="I21" s="18">
        <v>8</v>
      </c>
      <c r="J21" s="16">
        <v>6</v>
      </c>
      <c r="K21" s="17">
        <v>2</v>
      </c>
    </row>
    <row r="22" spans="1:11">
      <c r="A22" s="1" t="s">
        <v>9</v>
      </c>
      <c r="B22" s="41"/>
      <c r="C22" s="1" t="s">
        <v>38</v>
      </c>
      <c r="D22" s="4">
        <v>95</v>
      </c>
      <c r="E22" s="5">
        <v>68</v>
      </c>
      <c r="F22" s="11">
        <v>5</v>
      </c>
      <c r="G22" s="12">
        <v>4</v>
      </c>
      <c r="H22" s="18">
        <v>17</v>
      </c>
      <c r="I22" s="18">
        <v>7</v>
      </c>
      <c r="J22" s="16">
        <v>9</v>
      </c>
      <c r="K22" s="17">
        <v>5</v>
      </c>
    </row>
    <row r="23" spans="1:11">
      <c r="A23" s="1" t="s">
        <v>9</v>
      </c>
      <c r="B23" s="41"/>
      <c r="C23" s="1" t="s">
        <v>39</v>
      </c>
      <c r="D23" s="4">
        <v>59</v>
      </c>
      <c r="E23" s="5">
        <v>37</v>
      </c>
      <c r="F23" s="11">
        <v>7</v>
      </c>
      <c r="G23" s="12">
        <v>5</v>
      </c>
      <c r="H23" s="18">
        <v>10</v>
      </c>
      <c r="I23" s="18">
        <v>4</v>
      </c>
      <c r="J23" s="16">
        <v>8</v>
      </c>
      <c r="K23" s="17">
        <v>3</v>
      </c>
    </row>
    <row r="24" spans="1:11">
      <c r="A24" s="1" t="s">
        <v>14</v>
      </c>
      <c r="B24" s="1" t="s">
        <v>40</v>
      </c>
      <c r="C24" s="1" t="s">
        <v>41</v>
      </c>
      <c r="D24" s="4">
        <v>124</v>
      </c>
      <c r="E24" s="5">
        <v>93</v>
      </c>
      <c r="F24" s="11">
        <v>90</v>
      </c>
      <c r="G24" s="12">
        <v>76</v>
      </c>
      <c r="H24" s="18">
        <v>10</v>
      </c>
      <c r="I24" s="18">
        <v>9</v>
      </c>
      <c r="J24" s="16">
        <v>2</v>
      </c>
      <c r="K24" s="17">
        <v>2</v>
      </c>
    </row>
    <row r="25" spans="1:11">
      <c r="A25" s="1" t="s">
        <v>9</v>
      </c>
      <c r="B25" s="41" t="s">
        <v>42</v>
      </c>
      <c r="C25" s="1" t="s">
        <v>43</v>
      </c>
      <c r="D25" s="4">
        <v>56</v>
      </c>
      <c r="E25" s="5">
        <v>58</v>
      </c>
      <c r="F25" s="11">
        <v>26</v>
      </c>
      <c r="G25" s="12">
        <v>23</v>
      </c>
      <c r="H25" s="18">
        <v>4</v>
      </c>
      <c r="I25" s="18">
        <v>3</v>
      </c>
      <c r="J25" s="16">
        <v>3</v>
      </c>
      <c r="K25" s="17">
        <v>3</v>
      </c>
    </row>
    <row r="26" spans="1:11">
      <c r="A26" s="1" t="s">
        <v>9</v>
      </c>
      <c r="B26" s="41"/>
      <c r="C26" s="1" t="s">
        <v>44</v>
      </c>
      <c r="D26" s="4">
        <v>65</v>
      </c>
      <c r="E26" s="5">
        <v>38</v>
      </c>
      <c r="F26" s="11">
        <v>27</v>
      </c>
      <c r="G26" s="12">
        <v>15</v>
      </c>
      <c r="H26" s="18">
        <v>4</v>
      </c>
      <c r="I26" s="18">
        <v>11</v>
      </c>
      <c r="J26" s="16">
        <v>3</v>
      </c>
      <c r="K26" s="17">
        <v>1</v>
      </c>
    </row>
    <row r="27" spans="1:11">
      <c r="A27" s="1" t="s">
        <v>14</v>
      </c>
      <c r="B27" s="41" t="s">
        <v>45</v>
      </c>
      <c r="C27" s="1" t="s">
        <v>46</v>
      </c>
      <c r="D27" s="4">
        <v>147</v>
      </c>
      <c r="E27" s="5">
        <v>107</v>
      </c>
      <c r="F27" s="11">
        <v>33</v>
      </c>
      <c r="G27" s="12">
        <v>31</v>
      </c>
      <c r="H27" s="18">
        <v>10</v>
      </c>
      <c r="I27" s="18">
        <v>17</v>
      </c>
      <c r="J27" s="16">
        <v>6</v>
      </c>
      <c r="K27" s="17">
        <v>11</v>
      </c>
    </row>
    <row r="28" spans="1:11">
      <c r="A28" s="1" t="s">
        <v>14</v>
      </c>
      <c r="B28" s="41"/>
      <c r="C28" s="1" t="s">
        <v>47</v>
      </c>
      <c r="D28" s="4">
        <v>95</v>
      </c>
      <c r="E28" s="5">
        <v>96</v>
      </c>
      <c r="F28" s="11">
        <v>24</v>
      </c>
      <c r="G28" s="12">
        <v>28</v>
      </c>
      <c r="H28" s="18">
        <v>17</v>
      </c>
      <c r="I28" s="18">
        <v>9</v>
      </c>
      <c r="J28" s="16">
        <v>22</v>
      </c>
      <c r="K28" s="17">
        <v>11</v>
      </c>
    </row>
    <row r="29" spans="1:11">
      <c r="A29" s="1" t="s">
        <v>14</v>
      </c>
      <c r="B29" s="41"/>
      <c r="C29" s="1" t="s">
        <v>48</v>
      </c>
      <c r="D29" s="4">
        <v>46</v>
      </c>
      <c r="E29" s="5">
        <v>55</v>
      </c>
      <c r="F29" s="11">
        <v>10</v>
      </c>
      <c r="G29" s="12">
        <v>10</v>
      </c>
      <c r="H29" s="18">
        <v>1</v>
      </c>
      <c r="I29" s="18">
        <v>5</v>
      </c>
      <c r="J29" s="16">
        <v>5</v>
      </c>
      <c r="K29" s="17">
        <v>10</v>
      </c>
    </row>
    <row r="30" spans="1:11">
      <c r="A30" s="1" t="s">
        <v>9</v>
      </c>
      <c r="B30" s="41" t="s">
        <v>49</v>
      </c>
      <c r="C30" s="1" t="s">
        <v>50</v>
      </c>
      <c r="D30" s="4">
        <v>16</v>
      </c>
      <c r="E30" s="5">
        <v>12</v>
      </c>
      <c r="F30" s="11">
        <v>121</v>
      </c>
      <c r="G30" s="12">
        <v>42</v>
      </c>
      <c r="H30" s="18">
        <v>2</v>
      </c>
      <c r="I30" s="18">
        <v>2</v>
      </c>
      <c r="J30" s="16">
        <v>1</v>
      </c>
      <c r="K30" s="17">
        <v>0</v>
      </c>
    </row>
    <row r="31" spans="1:11">
      <c r="A31" s="1" t="s">
        <v>9</v>
      </c>
      <c r="B31" s="41"/>
      <c r="C31" s="1" t="s">
        <v>51</v>
      </c>
      <c r="D31" s="4">
        <v>37</v>
      </c>
      <c r="E31" s="5">
        <v>35</v>
      </c>
      <c r="F31" s="11">
        <v>73</v>
      </c>
      <c r="G31" s="12">
        <v>96</v>
      </c>
      <c r="H31" s="18">
        <v>3</v>
      </c>
      <c r="I31" s="18">
        <v>4</v>
      </c>
      <c r="J31" s="16">
        <v>3</v>
      </c>
      <c r="K31" s="17">
        <v>7</v>
      </c>
    </row>
    <row r="32" spans="1:11">
      <c r="A32" s="1" t="s">
        <v>9</v>
      </c>
      <c r="B32" s="41"/>
      <c r="C32" s="1" t="s">
        <v>52</v>
      </c>
      <c r="D32" s="4">
        <v>15</v>
      </c>
      <c r="E32" s="5">
        <v>12</v>
      </c>
      <c r="F32" s="11">
        <v>25</v>
      </c>
      <c r="G32" s="12">
        <v>23</v>
      </c>
      <c r="H32" s="18">
        <v>7</v>
      </c>
      <c r="I32" s="18">
        <v>2</v>
      </c>
      <c r="J32" s="16">
        <v>2</v>
      </c>
      <c r="K32" s="17">
        <v>5</v>
      </c>
    </row>
    <row r="33" spans="1:11">
      <c r="A33" s="1" t="s">
        <v>9</v>
      </c>
      <c r="B33" s="41"/>
      <c r="C33" s="1" t="s">
        <v>53</v>
      </c>
      <c r="D33" s="4">
        <v>5</v>
      </c>
      <c r="E33" s="5">
        <v>10</v>
      </c>
      <c r="F33" s="11">
        <v>39</v>
      </c>
      <c r="G33" s="12">
        <v>36</v>
      </c>
      <c r="H33" s="18">
        <v>0</v>
      </c>
      <c r="I33" s="18">
        <v>1</v>
      </c>
      <c r="J33" s="16">
        <v>0</v>
      </c>
      <c r="K33" s="17">
        <v>0</v>
      </c>
    </row>
    <row r="34" spans="1:11">
      <c r="A34" s="1" t="s">
        <v>9</v>
      </c>
      <c r="B34" s="41"/>
      <c r="C34" s="1" t="s">
        <v>54</v>
      </c>
      <c r="D34" s="4">
        <v>44</v>
      </c>
      <c r="E34" s="5">
        <v>30</v>
      </c>
      <c r="F34" s="11">
        <v>106</v>
      </c>
      <c r="G34" s="12">
        <v>97</v>
      </c>
      <c r="H34" s="18">
        <v>1</v>
      </c>
      <c r="I34" s="18">
        <v>8</v>
      </c>
      <c r="J34" s="16">
        <v>0</v>
      </c>
      <c r="K34" s="17">
        <v>2</v>
      </c>
    </row>
    <row r="35" spans="1:11">
      <c r="A35" s="1" t="s">
        <v>9</v>
      </c>
      <c r="B35" s="41"/>
      <c r="C35" s="1" t="s">
        <v>55</v>
      </c>
      <c r="D35" s="4">
        <v>29</v>
      </c>
      <c r="E35" s="5">
        <v>33</v>
      </c>
      <c r="F35" s="11">
        <v>80</v>
      </c>
      <c r="G35" s="12">
        <v>38</v>
      </c>
      <c r="H35" s="18">
        <v>2</v>
      </c>
      <c r="I35" s="18">
        <v>3</v>
      </c>
      <c r="J35" s="16">
        <v>0</v>
      </c>
      <c r="K35" s="17">
        <v>5</v>
      </c>
    </row>
    <row r="36" spans="1:11">
      <c r="A36" s="1" t="s">
        <v>9</v>
      </c>
      <c r="B36" s="41" t="s">
        <v>56</v>
      </c>
      <c r="C36" s="1" t="s">
        <v>57</v>
      </c>
      <c r="D36" s="4">
        <v>134</v>
      </c>
      <c r="E36" s="5">
        <v>50</v>
      </c>
      <c r="F36" s="11">
        <v>48</v>
      </c>
      <c r="G36" s="12">
        <v>24</v>
      </c>
      <c r="H36" s="18">
        <v>2</v>
      </c>
      <c r="I36" s="18">
        <v>7</v>
      </c>
      <c r="J36" s="16">
        <v>2</v>
      </c>
      <c r="K36" s="17">
        <v>0</v>
      </c>
    </row>
    <row r="37" spans="1:11">
      <c r="A37" s="1" t="s">
        <v>14</v>
      </c>
      <c r="B37" s="41"/>
      <c r="C37" s="1" t="s">
        <v>58</v>
      </c>
      <c r="D37" s="31">
        <v>13</v>
      </c>
      <c r="E37" s="32"/>
      <c r="F37" s="33">
        <v>9</v>
      </c>
      <c r="G37" s="34"/>
      <c r="H37" s="26">
        <v>0</v>
      </c>
      <c r="I37" s="27"/>
      <c r="J37" s="26">
        <v>0</v>
      </c>
      <c r="K37" s="27"/>
    </row>
    <row r="38" spans="1:11">
      <c r="A38" s="1" t="s">
        <v>9</v>
      </c>
      <c r="B38" s="1" t="s">
        <v>59</v>
      </c>
      <c r="C38" s="1" t="s">
        <v>60</v>
      </c>
      <c r="D38" s="4">
        <v>42</v>
      </c>
      <c r="E38" s="5">
        <v>13</v>
      </c>
      <c r="F38" s="11">
        <v>95</v>
      </c>
      <c r="G38" s="12">
        <v>23</v>
      </c>
      <c r="H38" s="18">
        <v>9</v>
      </c>
      <c r="I38" s="18">
        <v>3</v>
      </c>
      <c r="J38" s="16">
        <v>5</v>
      </c>
      <c r="K38" s="17">
        <v>1</v>
      </c>
    </row>
    <row r="39" spans="1:11">
      <c r="A39" s="1" t="s">
        <v>9</v>
      </c>
      <c r="B39" s="28" t="s">
        <v>61</v>
      </c>
      <c r="C39" s="1" t="s">
        <v>62</v>
      </c>
      <c r="D39" s="4">
        <v>51</v>
      </c>
      <c r="E39" s="5">
        <v>42</v>
      </c>
      <c r="F39" s="11">
        <v>116</v>
      </c>
      <c r="G39" s="12">
        <v>144</v>
      </c>
      <c r="H39" s="18">
        <v>7</v>
      </c>
      <c r="I39" s="18">
        <v>8</v>
      </c>
      <c r="J39" s="16">
        <v>6</v>
      </c>
      <c r="K39" s="17">
        <v>2</v>
      </c>
    </row>
    <row r="40" spans="1:11">
      <c r="A40" s="1" t="s">
        <v>9</v>
      </c>
      <c r="B40" s="30"/>
      <c r="C40" s="1" t="s">
        <v>63</v>
      </c>
      <c r="D40" s="4">
        <v>95</v>
      </c>
      <c r="E40" s="5">
        <v>55</v>
      </c>
      <c r="F40" s="11">
        <v>78</v>
      </c>
      <c r="G40" s="12">
        <v>59</v>
      </c>
      <c r="H40" s="18">
        <v>3</v>
      </c>
      <c r="I40" s="18">
        <v>5</v>
      </c>
      <c r="J40" s="16">
        <v>0</v>
      </c>
      <c r="K40" s="17">
        <v>6</v>
      </c>
    </row>
    <row r="41" spans="1:11">
      <c r="A41" s="1" t="s">
        <v>9</v>
      </c>
      <c r="B41" s="28" t="s">
        <v>64</v>
      </c>
      <c r="C41" s="1" t="s">
        <v>65</v>
      </c>
      <c r="D41" s="4">
        <v>199</v>
      </c>
      <c r="E41" s="5">
        <v>173</v>
      </c>
      <c r="F41" s="11">
        <v>33</v>
      </c>
      <c r="G41" s="12">
        <v>21</v>
      </c>
      <c r="H41" s="18">
        <v>16</v>
      </c>
      <c r="I41" s="18">
        <v>6</v>
      </c>
      <c r="J41" s="16">
        <v>2</v>
      </c>
      <c r="K41" s="17">
        <v>12</v>
      </c>
    </row>
    <row r="42" spans="1:11">
      <c r="A42" s="1" t="s">
        <v>9</v>
      </c>
      <c r="B42" s="29"/>
      <c r="C42" s="1" t="s">
        <v>66</v>
      </c>
      <c r="D42" s="4">
        <v>162</v>
      </c>
      <c r="E42" s="5">
        <v>107</v>
      </c>
      <c r="F42" s="11">
        <v>24</v>
      </c>
      <c r="G42" s="12">
        <v>23</v>
      </c>
      <c r="H42" s="18">
        <v>10</v>
      </c>
      <c r="I42" s="18">
        <v>7</v>
      </c>
      <c r="J42" s="16">
        <v>7</v>
      </c>
      <c r="K42" s="17">
        <v>12</v>
      </c>
    </row>
    <row r="43" spans="1:11">
      <c r="A43" s="1" t="s">
        <v>9</v>
      </c>
      <c r="B43" s="29"/>
      <c r="C43" s="1" t="s">
        <v>67</v>
      </c>
      <c r="D43" s="4">
        <v>189</v>
      </c>
      <c r="E43" s="5">
        <v>91</v>
      </c>
      <c r="F43" s="11">
        <v>20</v>
      </c>
      <c r="G43" s="12">
        <v>17</v>
      </c>
      <c r="H43" s="18">
        <v>18</v>
      </c>
      <c r="I43" s="18">
        <v>12</v>
      </c>
      <c r="J43" s="16">
        <v>4</v>
      </c>
      <c r="K43" s="17">
        <v>4</v>
      </c>
    </row>
    <row r="44" spans="1:11">
      <c r="A44" s="1" t="s">
        <v>9</v>
      </c>
      <c r="B44" s="29"/>
      <c r="C44" s="1" t="s">
        <v>68</v>
      </c>
      <c r="D44" s="4">
        <v>160</v>
      </c>
      <c r="E44" s="5">
        <v>67</v>
      </c>
      <c r="F44" s="11">
        <v>38</v>
      </c>
      <c r="G44" s="12">
        <v>25</v>
      </c>
      <c r="H44" s="18">
        <v>12</v>
      </c>
      <c r="I44" s="18">
        <v>15</v>
      </c>
      <c r="J44" s="16">
        <v>9</v>
      </c>
      <c r="K44" s="17">
        <v>7</v>
      </c>
    </row>
    <row r="45" spans="1:11">
      <c r="A45" s="1" t="s">
        <v>9</v>
      </c>
      <c r="B45" s="30"/>
      <c r="C45" s="1" t="s">
        <v>69</v>
      </c>
      <c r="D45" s="4">
        <v>167</v>
      </c>
      <c r="E45" s="5">
        <v>144</v>
      </c>
      <c r="F45" s="11">
        <v>29</v>
      </c>
      <c r="G45" s="12">
        <v>38</v>
      </c>
      <c r="H45" s="18">
        <v>17</v>
      </c>
      <c r="I45" s="18">
        <v>16</v>
      </c>
      <c r="J45" s="16">
        <v>11</v>
      </c>
      <c r="K45" s="17">
        <v>16</v>
      </c>
    </row>
    <row r="46" spans="1:11">
      <c r="A46" s="1" t="s">
        <v>30</v>
      </c>
      <c r="B46" s="28" t="s">
        <v>70</v>
      </c>
      <c r="C46" s="1" t="s">
        <v>71</v>
      </c>
      <c r="D46" s="4">
        <v>111</v>
      </c>
      <c r="E46" s="5">
        <v>108</v>
      </c>
      <c r="F46" s="11">
        <v>63</v>
      </c>
      <c r="G46" s="12">
        <v>54</v>
      </c>
      <c r="H46" s="18">
        <v>8</v>
      </c>
      <c r="I46" s="18">
        <v>8</v>
      </c>
      <c r="J46" s="16">
        <v>2</v>
      </c>
      <c r="K46" s="17">
        <v>5</v>
      </c>
    </row>
    <row r="47" spans="1:11">
      <c r="A47" s="1" t="s">
        <v>30</v>
      </c>
      <c r="B47" s="30"/>
      <c r="C47" s="1" t="s">
        <v>72</v>
      </c>
      <c r="D47" s="4">
        <v>77</v>
      </c>
      <c r="E47" s="5">
        <v>104</v>
      </c>
      <c r="F47" s="11">
        <v>150</v>
      </c>
      <c r="G47" s="12">
        <v>144</v>
      </c>
      <c r="H47" s="18">
        <v>5</v>
      </c>
      <c r="I47" s="18">
        <v>9</v>
      </c>
      <c r="J47" s="16">
        <v>1</v>
      </c>
      <c r="K47" s="17">
        <v>3</v>
      </c>
    </row>
    <row r="48" spans="1:11">
      <c r="A48" s="1" t="s">
        <v>14</v>
      </c>
      <c r="B48" s="28" t="s">
        <v>73</v>
      </c>
      <c r="C48" s="1" t="s">
        <v>74</v>
      </c>
      <c r="D48" s="4">
        <v>81</v>
      </c>
      <c r="E48" s="5">
        <v>102</v>
      </c>
      <c r="F48" s="11">
        <v>20</v>
      </c>
      <c r="G48" s="12">
        <v>27</v>
      </c>
      <c r="H48" s="18">
        <v>4</v>
      </c>
      <c r="I48" s="18">
        <v>7</v>
      </c>
      <c r="J48" s="16">
        <v>5</v>
      </c>
      <c r="K48" s="17">
        <v>6</v>
      </c>
    </row>
    <row r="49" spans="1:15">
      <c r="A49" s="1" t="s">
        <v>75</v>
      </c>
      <c r="B49" s="30"/>
      <c r="C49" s="1" t="s">
        <v>76</v>
      </c>
      <c r="D49" s="4">
        <v>25</v>
      </c>
      <c r="E49" s="25">
        <v>8</v>
      </c>
      <c r="F49" s="11">
        <v>14</v>
      </c>
      <c r="G49" s="12">
        <v>0</v>
      </c>
      <c r="H49" s="16">
        <v>6</v>
      </c>
      <c r="I49" s="17">
        <v>1</v>
      </c>
      <c r="J49" s="16">
        <v>2</v>
      </c>
      <c r="K49" s="17">
        <v>2</v>
      </c>
    </row>
    <row r="50" spans="1:15">
      <c r="A50" s="1" t="s">
        <v>9</v>
      </c>
      <c r="B50" s="1" t="s">
        <v>77</v>
      </c>
      <c r="C50" s="1" t="s">
        <v>78</v>
      </c>
      <c r="D50" s="4">
        <v>70</v>
      </c>
      <c r="E50" s="5">
        <v>92</v>
      </c>
      <c r="F50" s="11">
        <v>6</v>
      </c>
      <c r="G50" s="12">
        <v>12</v>
      </c>
      <c r="H50" s="18">
        <v>5</v>
      </c>
      <c r="I50" s="18">
        <v>7</v>
      </c>
      <c r="J50" s="16">
        <v>3</v>
      </c>
      <c r="K50" s="17">
        <v>7</v>
      </c>
    </row>
    <row r="51" spans="1:15">
      <c r="A51" s="1" t="s">
        <v>32</v>
      </c>
      <c r="B51" s="28" t="s">
        <v>79</v>
      </c>
      <c r="C51" s="1" t="s">
        <v>80</v>
      </c>
      <c r="D51" s="4">
        <v>28</v>
      </c>
      <c r="E51" s="5">
        <v>21</v>
      </c>
      <c r="F51" s="11">
        <v>159</v>
      </c>
      <c r="G51" s="12">
        <v>171</v>
      </c>
      <c r="H51" s="18">
        <v>2</v>
      </c>
      <c r="I51" s="18">
        <v>6</v>
      </c>
      <c r="J51" s="16">
        <v>3</v>
      </c>
      <c r="K51" s="17">
        <v>2</v>
      </c>
    </row>
    <row r="52" spans="1:15">
      <c r="A52" s="1" t="s">
        <v>32</v>
      </c>
      <c r="B52" s="30"/>
      <c r="C52" s="1" t="s">
        <v>81</v>
      </c>
      <c r="D52" s="16"/>
      <c r="E52" s="18"/>
      <c r="F52" s="16"/>
      <c r="G52" s="17"/>
      <c r="H52" s="18"/>
      <c r="I52" s="18"/>
      <c r="J52" s="16"/>
      <c r="K52" s="17"/>
    </row>
    <row r="53" spans="1:15">
      <c r="A53" s="1" t="s">
        <v>9</v>
      </c>
      <c r="B53" s="1" t="s">
        <v>82</v>
      </c>
      <c r="C53" s="1" t="s">
        <v>83</v>
      </c>
      <c r="D53" s="4">
        <v>153</v>
      </c>
      <c r="E53" s="5">
        <v>89</v>
      </c>
      <c r="F53" s="11">
        <v>88</v>
      </c>
      <c r="G53" s="12">
        <v>89</v>
      </c>
      <c r="H53" s="18">
        <v>8</v>
      </c>
      <c r="I53" s="18">
        <v>6</v>
      </c>
      <c r="J53" s="16">
        <v>1</v>
      </c>
      <c r="K53" s="17">
        <v>0</v>
      </c>
    </row>
    <row r="54" spans="1:15">
      <c r="A54" s="1" t="s">
        <v>9</v>
      </c>
      <c r="B54" s="1" t="s">
        <v>84</v>
      </c>
      <c r="C54" s="1" t="s">
        <v>85</v>
      </c>
      <c r="D54" s="4">
        <v>65</v>
      </c>
      <c r="E54" s="5">
        <v>49</v>
      </c>
      <c r="F54" s="11">
        <v>90</v>
      </c>
      <c r="G54" s="12">
        <v>81</v>
      </c>
      <c r="H54" s="18">
        <v>0</v>
      </c>
      <c r="I54" s="18">
        <v>2</v>
      </c>
      <c r="J54" s="16">
        <v>4</v>
      </c>
      <c r="K54" s="17">
        <v>2</v>
      </c>
    </row>
    <row r="55" spans="1:15">
      <c r="A55" s="1" t="s">
        <v>9</v>
      </c>
      <c r="B55" s="28" t="s">
        <v>86</v>
      </c>
      <c r="C55" s="1" t="s">
        <v>87</v>
      </c>
      <c r="D55" s="4">
        <v>46</v>
      </c>
      <c r="E55" s="5">
        <v>35</v>
      </c>
      <c r="F55" s="11">
        <v>191</v>
      </c>
      <c r="G55" s="12">
        <v>129</v>
      </c>
      <c r="H55" s="18">
        <v>5</v>
      </c>
      <c r="I55" s="18">
        <v>6</v>
      </c>
      <c r="J55" s="16">
        <v>4</v>
      </c>
      <c r="K55" s="17">
        <v>1</v>
      </c>
    </row>
    <row r="56" spans="1:15">
      <c r="A56" s="1" t="s">
        <v>9</v>
      </c>
      <c r="B56" s="29"/>
      <c r="C56" s="1" t="s">
        <v>88</v>
      </c>
      <c r="D56" s="4">
        <v>37</v>
      </c>
      <c r="E56" s="5">
        <v>20</v>
      </c>
      <c r="F56" s="11">
        <v>62</v>
      </c>
      <c r="G56" s="12">
        <v>38</v>
      </c>
      <c r="H56" s="18">
        <v>4</v>
      </c>
      <c r="I56" s="18">
        <v>1</v>
      </c>
      <c r="J56" s="16">
        <v>2</v>
      </c>
      <c r="K56" s="17">
        <v>1</v>
      </c>
    </row>
    <row r="57" spans="1:15">
      <c r="A57" s="1" t="s">
        <v>9</v>
      </c>
      <c r="B57" s="30"/>
      <c r="C57" s="1" t="s">
        <v>89</v>
      </c>
      <c r="D57" s="4">
        <v>18</v>
      </c>
      <c r="E57" s="5">
        <v>9</v>
      </c>
      <c r="F57" s="11">
        <v>10</v>
      </c>
      <c r="G57" s="12">
        <v>5</v>
      </c>
      <c r="H57" s="18">
        <v>5</v>
      </c>
      <c r="I57" s="18">
        <v>6</v>
      </c>
      <c r="J57" s="16">
        <v>3</v>
      </c>
      <c r="K57" s="17">
        <v>2</v>
      </c>
    </row>
    <row r="58" spans="1:15">
      <c r="A58" s="1" t="s">
        <v>90</v>
      </c>
      <c r="B58" s="1" t="s">
        <v>91</v>
      </c>
      <c r="C58" s="1" t="s">
        <v>92</v>
      </c>
      <c r="D58" s="31">
        <v>39</v>
      </c>
      <c r="E58" s="32"/>
      <c r="F58" s="33">
        <v>96</v>
      </c>
      <c r="G58" s="34"/>
      <c r="H58" s="26">
        <v>16</v>
      </c>
      <c r="I58" s="27"/>
      <c r="J58" s="26">
        <v>2</v>
      </c>
      <c r="K58" s="27"/>
    </row>
    <row r="61" spans="1:15">
      <c r="A61" s="40"/>
      <c r="B61" s="40"/>
      <c r="C61" s="40"/>
    </row>
    <row r="62" spans="1:15">
      <c r="A62" s="40" t="s">
        <v>93</v>
      </c>
      <c r="B62" s="40"/>
      <c r="C62" s="40"/>
      <c r="D62" s="40">
        <f>SUM(D3:E58)</f>
        <v>7045</v>
      </c>
      <c r="E62" s="40"/>
      <c r="F62" s="40">
        <f t="shared" ref="F62:K62" si="0">SUM(F3:G58)</f>
        <v>5074</v>
      </c>
      <c r="G62" s="40"/>
      <c r="H62" s="40">
        <f t="shared" ref="H62:K62" si="1">SUM(H3:I58)</f>
        <v>679</v>
      </c>
      <c r="I62" s="40"/>
      <c r="J62" s="40">
        <f>SUM(J3:K58)</f>
        <v>392</v>
      </c>
      <c r="K62" s="40"/>
      <c r="L62">
        <f>D62+F62+H62+J62</f>
        <v>13190</v>
      </c>
    </row>
    <row r="63" spans="1:15">
      <c r="A63" s="35" t="s">
        <v>94</v>
      </c>
      <c r="B63" s="36"/>
      <c r="C63" s="36"/>
      <c r="D63" s="37">
        <f>D62/(SUM($D$62:$G$62))</f>
        <v>0.58131859064279234</v>
      </c>
      <c r="E63" s="37"/>
      <c r="F63" s="37">
        <f>F62/(SUM($D$62:$G$62))</f>
        <v>0.41868140935720771</v>
      </c>
      <c r="G63" s="38"/>
      <c r="H63" s="39"/>
      <c r="I63" s="39"/>
      <c r="J63" s="39"/>
      <c r="K63" s="39"/>
      <c r="L63" s="20"/>
      <c r="M63" s="20"/>
      <c r="N63" s="20"/>
      <c r="O63" s="20"/>
    </row>
  </sheetData>
  <mergeCells count="45">
    <mergeCell ref="B8:B12"/>
    <mergeCell ref="B14:B18"/>
    <mergeCell ref="B19:B23"/>
    <mergeCell ref="B25:B26"/>
    <mergeCell ref="D1:E1"/>
    <mergeCell ref="A1:A2"/>
    <mergeCell ref="B1:B2"/>
    <mergeCell ref="C1:C2"/>
    <mergeCell ref="B6:B7"/>
    <mergeCell ref="B3:B5"/>
    <mergeCell ref="J1:K1"/>
    <mergeCell ref="J18:K18"/>
    <mergeCell ref="H1:I1"/>
    <mergeCell ref="F1:G1"/>
    <mergeCell ref="J62:K62"/>
    <mergeCell ref="F58:G58"/>
    <mergeCell ref="F18:G18"/>
    <mergeCell ref="F37:G37"/>
    <mergeCell ref="H37:I37"/>
    <mergeCell ref="J37:K37"/>
    <mergeCell ref="J58:K58"/>
    <mergeCell ref="H18:I18"/>
    <mergeCell ref="H58:I58"/>
    <mergeCell ref="A61:C61"/>
    <mergeCell ref="A62:C62"/>
    <mergeCell ref="D62:E62"/>
    <mergeCell ref="F62:G62"/>
    <mergeCell ref="H62:I62"/>
    <mergeCell ref="A63:C63"/>
    <mergeCell ref="D63:E63"/>
    <mergeCell ref="F63:G63"/>
    <mergeCell ref="H63:I63"/>
    <mergeCell ref="J63:K63"/>
    <mergeCell ref="B55:B57"/>
    <mergeCell ref="D18:E18"/>
    <mergeCell ref="D58:E58"/>
    <mergeCell ref="D37:E37"/>
    <mergeCell ref="B51:B52"/>
    <mergeCell ref="B36:B37"/>
    <mergeCell ref="B39:B40"/>
    <mergeCell ref="B41:B45"/>
    <mergeCell ref="B46:B47"/>
    <mergeCell ref="B48:B49"/>
    <mergeCell ref="B30:B35"/>
    <mergeCell ref="B27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D96A-C906-47CE-93F9-B5D258BF442B}">
  <dimension ref="A1:V62"/>
  <sheetViews>
    <sheetView workbookViewId="0">
      <pane xSplit="3" ySplit="2" topLeftCell="F16" activePane="bottomRight" state="frozen"/>
      <selection pane="bottomRight" activeCell="B36" sqref="B36:B37"/>
      <selection pane="bottomLeft"/>
      <selection pane="topRight"/>
    </sheetView>
  </sheetViews>
  <sheetFormatPr defaultRowHeight="15"/>
  <cols>
    <col min="2" max="2" width="18.42578125" customWidth="1"/>
    <col min="3" max="3" width="32.140625" customWidth="1"/>
  </cols>
  <sheetData>
    <row r="1" spans="1:21" ht="28.5" customHeight="1">
      <c r="A1" s="41" t="s">
        <v>0</v>
      </c>
      <c r="B1" s="41" t="s">
        <v>1</v>
      </c>
      <c r="C1" s="55" t="s">
        <v>2</v>
      </c>
      <c r="D1" s="51" t="s">
        <v>95</v>
      </c>
      <c r="E1" s="51"/>
      <c r="F1" s="51" t="s">
        <v>96</v>
      </c>
      <c r="G1" s="51"/>
      <c r="H1" s="51" t="s">
        <v>97</v>
      </c>
      <c r="I1" s="51"/>
      <c r="J1" s="51" t="s">
        <v>98</v>
      </c>
      <c r="K1" s="51"/>
      <c r="L1" s="51" t="s">
        <v>99</v>
      </c>
      <c r="M1" s="51"/>
      <c r="N1" s="51" t="s">
        <v>100</v>
      </c>
      <c r="O1" s="51"/>
      <c r="P1" s="51" t="s">
        <v>101</v>
      </c>
      <c r="Q1" s="51"/>
      <c r="R1" s="52" t="s">
        <v>5</v>
      </c>
      <c r="S1" s="53"/>
      <c r="T1" s="54" t="s">
        <v>6</v>
      </c>
      <c r="U1" s="54"/>
    </row>
    <row r="2" spans="1:21">
      <c r="A2" s="41"/>
      <c r="B2" s="41"/>
      <c r="C2" s="41"/>
      <c r="D2" s="23" t="s">
        <v>7</v>
      </c>
      <c r="E2" s="23" t="s">
        <v>8</v>
      </c>
      <c r="F2" s="23" t="s">
        <v>7</v>
      </c>
      <c r="G2" s="23" t="s">
        <v>8</v>
      </c>
      <c r="H2" s="23" t="s">
        <v>7</v>
      </c>
      <c r="I2" s="23" t="s">
        <v>8</v>
      </c>
      <c r="J2" s="23" t="s">
        <v>7</v>
      </c>
      <c r="K2" s="23" t="s">
        <v>8</v>
      </c>
      <c r="L2" s="23" t="s">
        <v>7</v>
      </c>
      <c r="M2" s="23" t="s">
        <v>8</v>
      </c>
      <c r="N2" s="23" t="s">
        <v>7</v>
      </c>
      <c r="O2" s="23" t="s">
        <v>8</v>
      </c>
      <c r="P2" s="23" t="s">
        <v>7</v>
      </c>
      <c r="Q2" s="23" t="s">
        <v>8</v>
      </c>
      <c r="R2" s="13" t="s">
        <v>7</v>
      </c>
      <c r="S2" s="13" t="s">
        <v>8</v>
      </c>
      <c r="T2" s="14" t="s">
        <v>7</v>
      </c>
      <c r="U2" s="14" t="s">
        <v>8</v>
      </c>
    </row>
    <row r="3" spans="1:21">
      <c r="A3" s="1" t="s">
        <v>9</v>
      </c>
      <c r="B3" s="44" t="s">
        <v>10</v>
      </c>
      <c r="C3" s="1" t="s">
        <v>11</v>
      </c>
      <c r="D3" s="15">
        <v>11</v>
      </c>
      <c r="E3" s="15">
        <v>13</v>
      </c>
      <c r="F3" s="24">
        <v>5</v>
      </c>
      <c r="G3" s="15">
        <v>6</v>
      </c>
      <c r="H3" s="16">
        <v>31</v>
      </c>
      <c r="I3" s="17">
        <v>25</v>
      </c>
      <c r="J3" s="15">
        <v>6</v>
      </c>
      <c r="K3" s="15">
        <v>4</v>
      </c>
      <c r="L3" s="16">
        <v>3</v>
      </c>
      <c r="M3" s="17">
        <v>3</v>
      </c>
      <c r="N3" s="15">
        <v>11</v>
      </c>
      <c r="O3" s="15">
        <v>13</v>
      </c>
      <c r="P3" s="16">
        <v>2</v>
      </c>
      <c r="Q3" s="17">
        <v>2</v>
      </c>
      <c r="R3" s="15">
        <v>4</v>
      </c>
      <c r="S3" s="15">
        <v>3</v>
      </c>
      <c r="T3" s="16">
        <v>1</v>
      </c>
      <c r="U3" s="17">
        <v>1</v>
      </c>
    </row>
    <row r="4" spans="1:21">
      <c r="A4" s="1" t="s">
        <v>9</v>
      </c>
      <c r="B4" s="44"/>
      <c r="C4" s="1" t="s">
        <v>12</v>
      </c>
      <c r="D4" s="18">
        <v>21</v>
      </c>
      <c r="E4" s="18">
        <v>23</v>
      </c>
      <c r="F4" s="16">
        <v>2</v>
      </c>
      <c r="G4" s="18">
        <v>4</v>
      </c>
      <c r="H4" s="16">
        <v>38</v>
      </c>
      <c r="I4" s="17">
        <v>43</v>
      </c>
      <c r="J4" s="18">
        <v>9</v>
      </c>
      <c r="K4" s="18">
        <v>12</v>
      </c>
      <c r="L4" s="16">
        <v>5</v>
      </c>
      <c r="M4" s="17">
        <v>11</v>
      </c>
      <c r="N4" s="18">
        <v>21</v>
      </c>
      <c r="O4" s="18">
        <v>20</v>
      </c>
      <c r="P4" s="16">
        <v>3</v>
      </c>
      <c r="Q4" s="17">
        <v>4</v>
      </c>
      <c r="R4" s="18">
        <v>4</v>
      </c>
      <c r="S4" s="18">
        <v>3</v>
      </c>
      <c r="T4" s="16">
        <v>3</v>
      </c>
      <c r="U4" s="17">
        <v>5</v>
      </c>
    </row>
    <row r="5" spans="1:21">
      <c r="A5" s="1" t="s">
        <v>9</v>
      </c>
      <c r="B5" s="44"/>
      <c r="C5" s="1" t="s">
        <v>13</v>
      </c>
      <c r="D5" s="18">
        <v>8</v>
      </c>
      <c r="E5" s="18">
        <v>1</v>
      </c>
      <c r="F5" s="16">
        <v>5</v>
      </c>
      <c r="G5" s="18">
        <v>1</v>
      </c>
      <c r="H5" s="16">
        <v>33</v>
      </c>
      <c r="I5" s="17">
        <v>26</v>
      </c>
      <c r="J5" s="18">
        <v>9</v>
      </c>
      <c r="K5" s="18">
        <v>13</v>
      </c>
      <c r="L5" s="16">
        <v>10</v>
      </c>
      <c r="M5" s="17">
        <v>0</v>
      </c>
      <c r="N5" s="18">
        <v>28</v>
      </c>
      <c r="O5" s="18">
        <v>25</v>
      </c>
      <c r="P5" s="16">
        <v>4</v>
      </c>
      <c r="Q5" s="17">
        <v>3</v>
      </c>
      <c r="R5" s="18">
        <v>2</v>
      </c>
      <c r="S5" s="18">
        <v>1</v>
      </c>
      <c r="T5" s="16">
        <v>0</v>
      </c>
      <c r="U5" s="17">
        <v>0</v>
      </c>
    </row>
    <row r="6" spans="1:21">
      <c r="A6" s="1" t="s">
        <v>14</v>
      </c>
      <c r="B6" s="41" t="s">
        <v>15</v>
      </c>
      <c r="C6" s="1" t="s">
        <v>16</v>
      </c>
      <c r="D6" s="18">
        <v>4</v>
      </c>
      <c r="E6" s="18">
        <v>0</v>
      </c>
      <c r="F6" s="16">
        <v>14</v>
      </c>
      <c r="G6" s="18">
        <v>1</v>
      </c>
      <c r="H6" s="16">
        <v>53</v>
      </c>
      <c r="I6" s="17">
        <v>25</v>
      </c>
      <c r="J6" s="18">
        <v>31</v>
      </c>
      <c r="K6" s="18">
        <v>15</v>
      </c>
      <c r="L6" s="16">
        <v>5</v>
      </c>
      <c r="M6" s="17">
        <v>3</v>
      </c>
      <c r="N6" s="18">
        <v>28</v>
      </c>
      <c r="O6" s="18">
        <v>19</v>
      </c>
      <c r="P6" s="16">
        <v>4</v>
      </c>
      <c r="Q6" s="17">
        <v>0</v>
      </c>
      <c r="R6" s="18">
        <v>0</v>
      </c>
      <c r="S6" s="18">
        <v>2</v>
      </c>
      <c r="T6" s="16">
        <v>3</v>
      </c>
      <c r="U6" s="17">
        <v>0</v>
      </c>
    </row>
    <row r="7" spans="1:21">
      <c r="A7" s="1" t="s">
        <v>9</v>
      </c>
      <c r="B7" s="41"/>
      <c r="C7" s="1" t="s">
        <v>17</v>
      </c>
      <c r="D7" s="18">
        <v>2</v>
      </c>
      <c r="E7" s="18">
        <v>6</v>
      </c>
      <c r="F7" s="16">
        <v>2</v>
      </c>
      <c r="G7" s="18">
        <v>5</v>
      </c>
      <c r="H7" s="16">
        <v>27</v>
      </c>
      <c r="I7" s="17">
        <v>41</v>
      </c>
      <c r="J7" s="18">
        <v>6</v>
      </c>
      <c r="K7" s="18">
        <v>9</v>
      </c>
      <c r="L7" s="16">
        <v>2</v>
      </c>
      <c r="M7" s="17">
        <v>4</v>
      </c>
      <c r="N7" s="18">
        <v>20</v>
      </c>
      <c r="O7" s="18">
        <v>27</v>
      </c>
      <c r="P7" s="16">
        <v>2</v>
      </c>
      <c r="Q7" s="17">
        <v>4</v>
      </c>
      <c r="R7" s="18">
        <v>0</v>
      </c>
      <c r="S7" s="18">
        <v>1</v>
      </c>
      <c r="T7" s="16">
        <v>3</v>
      </c>
      <c r="U7" s="17">
        <v>1</v>
      </c>
    </row>
    <row r="8" spans="1:21">
      <c r="A8" s="1" t="s">
        <v>9</v>
      </c>
      <c r="B8" s="41" t="s">
        <v>18</v>
      </c>
      <c r="C8" s="1" t="s">
        <v>19</v>
      </c>
      <c r="D8" s="18">
        <v>17</v>
      </c>
      <c r="E8" s="18">
        <v>11</v>
      </c>
      <c r="F8" s="16">
        <v>6</v>
      </c>
      <c r="G8" s="18">
        <v>6</v>
      </c>
      <c r="H8" s="16">
        <v>62</v>
      </c>
      <c r="I8" s="17">
        <v>15</v>
      </c>
      <c r="J8" s="18">
        <v>8</v>
      </c>
      <c r="K8" s="18">
        <v>4</v>
      </c>
      <c r="L8" s="16">
        <v>6</v>
      </c>
      <c r="M8" s="17">
        <v>5</v>
      </c>
      <c r="N8" s="18">
        <v>10</v>
      </c>
      <c r="O8" s="18">
        <v>6</v>
      </c>
      <c r="P8" s="16">
        <v>9</v>
      </c>
      <c r="Q8" s="17">
        <v>4</v>
      </c>
      <c r="R8" s="18">
        <v>4</v>
      </c>
      <c r="S8" s="18">
        <v>5</v>
      </c>
      <c r="T8" s="16">
        <v>7</v>
      </c>
      <c r="U8" s="17">
        <v>2</v>
      </c>
    </row>
    <row r="9" spans="1:21">
      <c r="A9" s="1" t="s">
        <v>9</v>
      </c>
      <c r="B9" s="41"/>
      <c r="C9" s="1" t="s">
        <v>20</v>
      </c>
      <c r="D9" s="18">
        <v>9</v>
      </c>
      <c r="E9" s="18">
        <v>9</v>
      </c>
      <c r="F9" s="16">
        <v>9</v>
      </c>
      <c r="G9" s="18">
        <v>8</v>
      </c>
      <c r="H9" s="16">
        <v>78</v>
      </c>
      <c r="I9" s="17">
        <v>94</v>
      </c>
      <c r="J9" s="18">
        <v>5</v>
      </c>
      <c r="K9" s="18">
        <v>12</v>
      </c>
      <c r="L9" s="16">
        <v>5</v>
      </c>
      <c r="M9" s="17">
        <v>4</v>
      </c>
      <c r="N9" s="18">
        <v>10</v>
      </c>
      <c r="O9" s="18">
        <v>11</v>
      </c>
      <c r="P9" s="16">
        <v>6</v>
      </c>
      <c r="Q9" s="17">
        <v>5</v>
      </c>
      <c r="R9" s="18">
        <v>2</v>
      </c>
      <c r="S9" s="18">
        <v>2</v>
      </c>
      <c r="T9" s="16">
        <v>0</v>
      </c>
      <c r="U9" s="17">
        <v>3</v>
      </c>
    </row>
    <row r="10" spans="1:21">
      <c r="A10" s="1" t="s">
        <v>9</v>
      </c>
      <c r="B10" s="41"/>
      <c r="C10" s="1" t="s">
        <v>21</v>
      </c>
      <c r="D10" s="18">
        <v>1</v>
      </c>
      <c r="E10" s="18">
        <v>7</v>
      </c>
      <c r="F10" s="16">
        <v>0</v>
      </c>
      <c r="G10" s="18">
        <v>9</v>
      </c>
      <c r="H10" s="16">
        <v>26</v>
      </c>
      <c r="I10" s="17">
        <v>99</v>
      </c>
      <c r="J10" s="18">
        <v>0</v>
      </c>
      <c r="K10" s="18">
        <v>9</v>
      </c>
      <c r="L10" s="16">
        <v>0</v>
      </c>
      <c r="M10" s="17">
        <v>3</v>
      </c>
      <c r="N10" s="18">
        <v>5</v>
      </c>
      <c r="O10" s="18">
        <v>21</v>
      </c>
      <c r="P10" s="16">
        <v>3</v>
      </c>
      <c r="Q10" s="17">
        <v>2</v>
      </c>
      <c r="R10" s="18">
        <v>0</v>
      </c>
      <c r="S10" s="18">
        <v>2</v>
      </c>
      <c r="T10" s="16">
        <v>0</v>
      </c>
      <c r="U10" s="17">
        <v>2</v>
      </c>
    </row>
    <row r="11" spans="1:21">
      <c r="A11" s="1" t="s">
        <v>9</v>
      </c>
      <c r="B11" s="41"/>
      <c r="C11" s="1" t="s">
        <v>22</v>
      </c>
      <c r="D11" s="18">
        <v>10</v>
      </c>
      <c r="E11" s="18">
        <v>4</v>
      </c>
      <c r="F11" s="16">
        <v>8</v>
      </c>
      <c r="G11" s="18">
        <v>7</v>
      </c>
      <c r="H11" s="16">
        <v>50</v>
      </c>
      <c r="I11" s="17">
        <v>38</v>
      </c>
      <c r="J11" s="18">
        <v>2</v>
      </c>
      <c r="K11" s="18">
        <v>5</v>
      </c>
      <c r="L11" s="16">
        <v>15</v>
      </c>
      <c r="M11" s="17">
        <v>1</v>
      </c>
      <c r="N11" s="18">
        <v>17</v>
      </c>
      <c r="O11" s="18">
        <v>15</v>
      </c>
      <c r="P11" s="16">
        <v>28</v>
      </c>
      <c r="Q11" s="17">
        <v>16</v>
      </c>
      <c r="R11" s="18">
        <v>1</v>
      </c>
      <c r="S11" s="18">
        <v>0</v>
      </c>
      <c r="T11" s="16">
        <v>0</v>
      </c>
      <c r="U11" s="17">
        <v>1</v>
      </c>
    </row>
    <row r="12" spans="1:21">
      <c r="A12" s="1" t="s">
        <v>9</v>
      </c>
      <c r="B12" s="41"/>
      <c r="C12" s="1" t="s">
        <v>23</v>
      </c>
      <c r="D12" s="18"/>
      <c r="E12" s="18"/>
      <c r="F12" s="16"/>
      <c r="G12" s="18"/>
      <c r="H12" s="16"/>
      <c r="I12" s="17"/>
      <c r="J12" s="18"/>
      <c r="K12" s="18"/>
      <c r="L12" s="16"/>
      <c r="M12" s="17"/>
      <c r="N12" s="18"/>
      <c r="O12" s="18"/>
      <c r="P12" s="16"/>
      <c r="Q12" s="17"/>
      <c r="R12" s="18"/>
      <c r="S12" s="18"/>
      <c r="T12" s="16"/>
      <c r="U12" s="17"/>
    </row>
    <row r="13" spans="1:21">
      <c r="A13" s="1" t="s">
        <v>9</v>
      </c>
      <c r="B13" s="1" t="s">
        <v>24</v>
      </c>
      <c r="C13" s="1" t="s">
        <v>25</v>
      </c>
      <c r="D13" s="18">
        <v>16</v>
      </c>
      <c r="E13" s="18">
        <v>13</v>
      </c>
      <c r="F13" s="16">
        <v>12</v>
      </c>
      <c r="G13" s="18">
        <v>11</v>
      </c>
      <c r="H13" s="16">
        <v>76</v>
      </c>
      <c r="I13" s="17">
        <v>67</v>
      </c>
      <c r="J13" s="18">
        <v>59</v>
      </c>
      <c r="K13" s="18">
        <v>54</v>
      </c>
      <c r="L13" s="16">
        <v>9</v>
      </c>
      <c r="M13" s="17">
        <v>5</v>
      </c>
      <c r="N13" s="18">
        <v>26</v>
      </c>
      <c r="O13" s="18">
        <v>17</v>
      </c>
      <c r="P13" s="16">
        <v>15</v>
      </c>
      <c r="Q13" s="17">
        <v>14</v>
      </c>
      <c r="R13" s="18">
        <v>7</v>
      </c>
      <c r="S13" s="18">
        <v>5</v>
      </c>
      <c r="T13" s="16">
        <v>7</v>
      </c>
      <c r="U13" s="17">
        <v>7</v>
      </c>
    </row>
    <row r="14" spans="1:21">
      <c r="A14" s="1" t="s">
        <v>9</v>
      </c>
      <c r="B14" s="41" t="s">
        <v>26</v>
      </c>
      <c r="C14" s="1" t="s">
        <v>27</v>
      </c>
      <c r="D14" s="18">
        <v>35</v>
      </c>
      <c r="E14" s="18">
        <v>13</v>
      </c>
      <c r="F14" s="16">
        <v>37</v>
      </c>
      <c r="G14" s="18">
        <v>34</v>
      </c>
      <c r="H14" s="16">
        <v>60</v>
      </c>
      <c r="I14" s="17">
        <v>55</v>
      </c>
      <c r="J14" s="18">
        <v>47</v>
      </c>
      <c r="K14" s="18">
        <v>29</v>
      </c>
      <c r="L14" s="16">
        <v>42</v>
      </c>
      <c r="M14" s="17">
        <v>31</v>
      </c>
      <c r="N14" s="18">
        <v>45</v>
      </c>
      <c r="O14" s="18">
        <v>30</v>
      </c>
      <c r="P14" s="16">
        <v>18</v>
      </c>
      <c r="Q14" s="17">
        <v>2</v>
      </c>
      <c r="R14" s="18">
        <v>4</v>
      </c>
      <c r="S14" s="18">
        <v>4</v>
      </c>
      <c r="T14" s="16">
        <v>12</v>
      </c>
      <c r="U14" s="17">
        <v>4</v>
      </c>
    </row>
    <row r="15" spans="1:21">
      <c r="A15" s="1" t="s">
        <v>9</v>
      </c>
      <c r="B15" s="41"/>
      <c r="C15" s="1" t="s">
        <v>28</v>
      </c>
      <c r="D15" s="18">
        <v>35</v>
      </c>
      <c r="E15" s="18">
        <v>34</v>
      </c>
      <c r="F15" s="16">
        <v>9</v>
      </c>
      <c r="G15" s="18">
        <v>3</v>
      </c>
      <c r="H15" s="16">
        <v>43</v>
      </c>
      <c r="I15" s="17">
        <v>47</v>
      </c>
      <c r="J15" s="18">
        <v>5</v>
      </c>
      <c r="K15" s="18">
        <v>7</v>
      </c>
      <c r="L15" s="16">
        <v>22</v>
      </c>
      <c r="M15" s="17">
        <v>20</v>
      </c>
      <c r="N15" s="18">
        <v>19</v>
      </c>
      <c r="O15" s="18">
        <v>20</v>
      </c>
      <c r="P15" s="16">
        <v>7</v>
      </c>
      <c r="Q15" s="17">
        <v>12</v>
      </c>
      <c r="R15" s="18">
        <v>5</v>
      </c>
      <c r="S15" s="18">
        <v>8</v>
      </c>
      <c r="T15" s="16">
        <v>4</v>
      </c>
      <c r="U15" s="17">
        <v>3</v>
      </c>
    </row>
    <row r="16" spans="1:21">
      <c r="A16" s="1" t="s">
        <v>14</v>
      </c>
      <c r="B16" s="41"/>
      <c r="C16" s="1" t="s">
        <v>29</v>
      </c>
      <c r="D16" s="18">
        <v>1</v>
      </c>
      <c r="E16" s="18">
        <v>4</v>
      </c>
      <c r="F16" s="16">
        <v>2</v>
      </c>
      <c r="G16" s="18">
        <v>1</v>
      </c>
      <c r="H16" s="16">
        <v>5</v>
      </c>
      <c r="I16" s="17">
        <v>21</v>
      </c>
      <c r="J16" s="18">
        <v>7</v>
      </c>
      <c r="K16" s="18">
        <v>7</v>
      </c>
      <c r="L16" s="16">
        <v>6</v>
      </c>
      <c r="M16" s="17">
        <v>19</v>
      </c>
      <c r="N16" s="18">
        <v>9</v>
      </c>
      <c r="O16" s="18">
        <v>15</v>
      </c>
      <c r="P16" s="16">
        <v>3</v>
      </c>
      <c r="Q16" s="17">
        <v>5</v>
      </c>
      <c r="R16" s="18">
        <v>3</v>
      </c>
      <c r="S16" s="18">
        <v>0</v>
      </c>
      <c r="T16" s="16">
        <v>1</v>
      </c>
      <c r="U16" s="17">
        <v>0</v>
      </c>
    </row>
    <row r="17" spans="1:21">
      <c r="A17" s="1" t="s">
        <v>30</v>
      </c>
      <c r="B17" s="41"/>
      <c r="C17" s="1" t="s">
        <v>31</v>
      </c>
      <c r="D17" s="16">
        <v>1</v>
      </c>
      <c r="E17" s="18">
        <v>1</v>
      </c>
      <c r="F17" s="16">
        <v>6</v>
      </c>
      <c r="G17" s="17">
        <v>1</v>
      </c>
      <c r="H17" s="16">
        <v>10</v>
      </c>
      <c r="I17" s="17">
        <v>4</v>
      </c>
      <c r="J17" s="16">
        <v>7</v>
      </c>
      <c r="K17" s="17">
        <v>2</v>
      </c>
      <c r="L17" s="16">
        <v>1</v>
      </c>
      <c r="M17" s="17">
        <v>0</v>
      </c>
      <c r="N17" s="16">
        <v>2</v>
      </c>
      <c r="O17" s="17">
        <v>4</v>
      </c>
      <c r="P17" s="16">
        <v>1</v>
      </c>
      <c r="Q17" s="17">
        <v>0</v>
      </c>
      <c r="R17" s="16">
        <v>1</v>
      </c>
      <c r="S17" s="17">
        <v>0</v>
      </c>
      <c r="T17" s="16">
        <v>2</v>
      </c>
      <c r="U17" s="17">
        <v>0</v>
      </c>
    </row>
    <row r="18" spans="1:21">
      <c r="A18" s="1" t="s">
        <v>32</v>
      </c>
      <c r="B18" s="41"/>
      <c r="C18" s="1" t="s">
        <v>33</v>
      </c>
      <c r="D18" s="26">
        <v>0</v>
      </c>
      <c r="E18" s="50"/>
      <c r="F18" s="26">
        <v>1</v>
      </c>
      <c r="G18" s="27"/>
      <c r="H18" s="26">
        <v>1</v>
      </c>
      <c r="I18" s="27"/>
      <c r="J18" s="26">
        <v>1</v>
      </c>
      <c r="K18" s="27"/>
      <c r="L18" s="26">
        <v>0</v>
      </c>
      <c r="M18" s="27"/>
      <c r="N18" s="26">
        <v>0</v>
      </c>
      <c r="O18" s="27"/>
      <c r="P18" s="26">
        <v>0</v>
      </c>
      <c r="Q18" s="27"/>
      <c r="R18" s="26">
        <v>0</v>
      </c>
      <c r="S18" s="27"/>
      <c r="T18" s="26">
        <v>0</v>
      </c>
      <c r="U18" s="27"/>
    </row>
    <row r="19" spans="1:21">
      <c r="A19" s="1" t="s">
        <v>9</v>
      </c>
      <c r="B19" s="41" t="s">
        <v>34</v>
      </c>
      <c r="C19" s="1" t="s">
        <v>35</v>
      </c>
      <c r="D19" s="18">
        <v>1</v>
      </c>
      <c r="E19" s="18">
        <v>3</v>
      </c>
      <c r="F19" s="16">
        <v>1</v>
      </c>
      <c r="G19" s="18">
        <v>1</v>
      </c>
      <c r="H19" s="16">
        <v>14</v>
      </c>
      <c r="I19" s="17">
        <v>9</v>
      </c>
      <c r="J19" s="18">
        <v>1</v>
      </c>
      <c r="K19" s="18">
        <v>1</v>
      </c>
      <c r="L19" s="16">
        <v>110</v>
      </c>
      <c r="M19" s="17">
        <v>79</v>
      </c>
      <c r="N19" s="18">
        <v>0</v>
      </c>
      <c r="O19" s="18">
        <v>7</v>
      </c>
      <c r="P19" s="16">
        <v>0</v>
      </c>
      <c r="Q19" s="17">
        <v>1</v>
      </c>
      <c r="R19" s="18">
        <v>3</v>
      </c>
      <c r="S19" s="18">
        <v>0</v>
      </c>
      <c r="T19" s="16">
        <v>5</v>
      </c>
      <c r="U19" s="17">
        <v>3</v>
      </c>
    </row>
    <row r="20" spans="1:21">
      <c r="A20" s="1" t="s">
        <v>9</v>
      </c>
      <c r="B20" s="41"/>
      <c r="C20" s="1" t="s">
        <v>36</v>
      </c>
      <c r="D20" s="18">
        <v>3</v>
      </c>
      <c r="E20" s="18">
        <v>2</v>
      </c>
      <c r="F20" s="16">
        <v>0</v>
      </c>
      <c r="G20" s="18">
        <v>0</v>
      </c>
      <c r="H20" s="16">
        <v>11</v>
      </c>
      <c r="I20" s="17">
        <v>12</v>
      </c>
      <c r="J20" s="18">
        <v>4</v>
      </c>
      <c r="K20" s="18">
        <v>1</v>
      </c>
      <c r="L20" s="16">
        <v>132</v>
      </c>
      <c r="M20" s="17">
        <v>63</v>
      </c>
      <c r="N20" s="18">
        <v>5</v>
      </c>
      <c r="O20" s="18">
        <v>3</v>
      </c>
      <c r="P20" s="16">
        <v>2</v>
      </c>
      <c r="Q20" s="17">
        <v>2</v>
      </c>
      <c r="R20" s="18">
        <v>2</v>
      </c>
      <c r="S20" s="18">
        <v>2</v>
      </c>
      <c r="T20" s="16">
        <v>4</v>
      </c>
      <c r="U20" s="17">
        <v>1</v>
      </c>
    </row>
    <row r="21" spans="1:21">
      <c r="A21" s="1" t="s">
        <v>9</v>
      </c>
      <c r="B21" s="41"/>
      <c r="C21" s="1" t="s">
        <v>37</v>
      </c>
      <c r="D21" s="18">
        <v>2</v>
      </c>
      <c r="E21" s="18">
        <v>3</v>
      </c>
      <c r="F21" s="16">
        <v>0</v>
      </c>
      <c r="G21" s="18">
        <v>1</v>
      </c>
      <c r="H21" s="16">
        <v>13</v>
      </c>
      <c r="I21" s="17">
        <v>9</v>
      </c>
      <c r="J21" s="18">
        <v>0</v>
      </c>
      <c r="K21" s="18">
        <v>1</v>
      </c>
      <c r="L21" s="16">
        <v>81</v>
      </c>
      <c r="M21" s="17">
        <v>41</v>
      </c>
      <c r="N21" s="18">
        <v>4</v>
      </c>
      <c r="O21" s="18">
        <v>8</v>
      </c>
      <c r="P21" s="16">
        <v>0</v>
      </c>
      <c r="Q21" s="17">
        <v>1</v>
      </c>
      <c r="R21" s="18">
        <v>0</v>
      </c>
      <c r="S21" s="18">
        <v>0</v>
      </c>
      <c r="T21" s="16">
        <v>1</v>
      </c>
      <c r="U21" s="17">
        <v>0</v>
      </c>
    </row>
    <row r="22" spans="1:21">
      <c r="A22" s="1" t="s">
        <v>9</v>
      </c>
      <c r="B22" s="41"/>
      <c r="C22" s="1" t="s">
        <v>38</v>
      </c>
      <c r="D22" s="18">
        <v>1</v>
      </c>
      <c r="E22" s="18">
        <v>4</v>
      </c>
      <c r="F22" s="16">
        <v>0</v>
      </c>
      <c r="G22" s="18">
        <v>5</v>
      </c>
      <c r="H22" s="16">
        <v>13</v>
      </c>
      <c r="I22" s="17">
        <v>8</v>
      </c>
      <c r="J22" s="18">
        <v>4</v>
      </c>
      <c r="K22" s="18">
        <v>0</v>
      </c>
      <c r="L22" s="16">
        <v>92</v>
      </c>
      <c r="M22" s="17">
        <v>46</v>
      </c>
      <c r="N22" s="18">
        <v>12</v>
      </c>
      <c r="O22" s="18">
        <v>16</v>
      </c>
      <c r="P22" s="16">
        <v>1</v>
      </c>
      <c r="Q22" s="17">
        <v>3</v>
      </c>
      <c r="R22" s="18">
        <v>1</v>
      </c>
      <c r="S22" s="18">
        <v>2</v>
      </c>
      <c r="T22" s="16">
        <v>2</v>
      </c>
      <c r="U22" s="17">
        <v>1</v>
      </c>
    </row>
    <row r="23" spans="1:21">
      <c r="A23" s="1" t="s">
        <v>9</v>
      </c>
      <c r="B23" s="41"/>
      <c r="C23" s="1" t="s">
        <v>39</v>
      </c>
      <c r="D23" s="18">
        <v>2</v>
      </c>
      <c r="E23" s="18">
        <v>3</v>
      </c>
      <c r="F23" s="16">
        <v>5</v>
      </c>
      <c r="G23" s="18">
        <v>0</v>
      </c>
      <c r="H23" s="16">
        <v>9</v>
      </c>
      <c r="I23" s="17">
        <v>9</v>
      </c>
      <c r="J23" s="18">
        <v>2</v>
      </c>
      <c r="K23" s="18">
        <v>2</v>
      </c>
      <c r="L23" s="16">
        <v>52</v>
      </c>
      <c r="M23" s="17">
        <v>40</v>
      </c>
      <c r="N23" s="18">
        <v>11</v>
      </c>
      <c r="O23" s="18">
        <v>4</v>
      </c>
      <c r="P23" s="16">
        <v>2</v>
      </c>
      <c r="Q23" s="17">
        <v>0</v>
      </c>
      <c r="R23" s="18">
        <v>0</v>
      </c>
      <c r="S23" s="18">
        <v>0</v>
      </c>
      <c r="T23" s="16">
        <v>1</v>
      </c>
      <c r="U23" s="17">
        <v>1</v>
      </c>
    </row>
    <row r="24" spans="1:21">
      <c r="A24" s="1" t="s">
        <v>14</v>
      </c>
      <c r="B24" s="1" t="s">
        <v>40</v>
      </c>
      <c r="C24" s="1" t="s">
        <v>41</v>
      </c>
      <c r="D24" s="18">
        <v>12</v>
      </c>
      <c r="E24" s="18">
        <v>5</v>
      </c>
      <c r="F24" s="16">
        <v>37</v>
      </c>
      <c r="G24" s="18">
        <v>26</v>
      </c>
      <c r="H24" s="16">
        <v>93</v>
      </c>
      <c r="I24" s="17">
        <v>70</v>
      </c>
      <c r="J24" s="18">
        <v>27</v>
      </c>
      <c r="K24" s="18">
        <v>24</v>
      </c>
      <c r="L24" s="16">
        <v>16</v>
      </c>
      <c r="M24" s="17">
        <v>16</v>
      </c>
      <c r="N24" s="18">
        <v>25</v>
      </c>
      <c r="O24" s="18">
        <v>27</v>
      </c>
      <c r="P24" s="16">
        <v>7</v>
      </c>
      <c r="Q24" s="17">
        <v>7</v>
      </c>
      <c r="R24" s="18">
        <v>6</v>
      </c>
      <c r="S24" s="18">
        <v>3</v>
      </c>
      <c r="T24" s="16">
        <v>3</v>
      </c>
      <c r="U24" s="17">
        <v>2</v>
      </c>
    </row>
    <row r="25" spans="1:21">
      <c r="A25" s="1" t="s">
        <v>9</v>
      </c>
      <c r="B25" s="41" t="s">
        <v>42</v>
      </c>
      <c r="C25" s="1" t="s">
        <v>43</v>
      </c>
      <c r="D25" s="18">
        <v>24</v>
      </c>
      <c r="E25" s="18">
        <v>19</v>
      </c>
      <c r="F25" s="16">
        <v>3</v>
      </c>
      <c r="G25" s="18">
        <v>1</v>
      </c>
      <c r="H25" s="16">
        <v>25</v>
      </c>
      <c r="I25" s="17">
        <v>35</v>
      </c>
      <c r="J25" s="18">
        <v>5</v>
      </c>
      <c r="K25" s="18">
        <v>2</v>
      </c>
      <c r="L25" s="16">
        <v>6</v>
      </c>
      <c r="M25" s="17">
        <v>8</v>
      </c>
      <c r="N25" s="18">
        <v>11</v>
      </c>
      <c r="O25" s="18">
        <v>5</v>
      </c>
      <c r="P25" s="16">
        <v>10</v>
      </c>
      <c r="Q25" s="17">
        <v>13</v>
      </c>
      <c r="R25" s="18">
        <v>2</v>
      </c>
      <c r="S25" s="18">
        <v>2</v>
      </c>
      <c r="T25" s="16">
        <v>3</v>
      </c>
      <c r="U25" s="17">
        <v>2</v>
      </c>
    </row>
    <row r="26" spans="1:21">
      <c r="A26" s="1" t="s">
        <v>9</v>
      </c>
      <c r="B26" s="41"/>
      <c r="C26" s="1" t="s">
        <v>44</v>
      </c>
      <c r="D26" s="18">
        <v>18</v>
      </c>
      <c r="E26" s="18">
        <v>18</v>
      </c>
      <c r="F26" s="16">
        <v>2</v>
      </c>
      <c r="G26" s="18">
        <v>7</v>
      </c>
      <c r="H26" s="16">
        <v>27</v>
      </c>
      <c r="I26" s="17">
        <v>16</v>
      </c>
      <c r="J26" s="18">
        <v>7</v>
      </c>
      <c r="K26" s="18">
        <v>0</v>
      </c>
      <c r="L26" s="16">
        <v>19</v>
      </c>
      <c r="M26" s="17">
        <v>6</v>
      </c>
      <c r="N26" s="18">
        <v>4</v>
      </c>
      <c r="O26" s="18">
        <v>8</v>
      </c>
      <c r="P26" s="16">
        <v>12</v>
      </c>
      <c r="Q26" s="17">
        <v>3</v>
      </c>
      <c r="R26" s="18">
        <v>7</v>
      </c>
      <c r="S26" s="18">
        <v>4</v>
      </c>
      <c r="T26" s="16">
        <v>3</v>
      </c>
      <c r="U26" s="17">
        <v>3</v>
      </c>
    </row>
    <row r="27" spans="1:21">
      <c r="A27" s="1" t="s">
        <v>14</v>
      </c>
      <c r="B27" s="41" t="s">
        <v>45</v>
      </c>
      <c r="C27" s="1" t="s">
        <v>46</v>
      </c>
      <c r="D27" s="18">
        <v>18</v>
      </c>
      <c r="E27" s="18">
        <v>19</v>
      </c>
      <c r="F27" s="16">
        <v>5</v>
      </c>
      <c r="G27" s="18">
        <v>5</v>
      </c>
      <c r="H27" s="16">
        <v>23</v>
      </c>
      <c r="I27" s="17">
        <v>32</v>
      </c>
      <c r="J27" s="18">
        <v>23</v>
      </c>
      <c r="K27" s="18">
        <v>19</v>
      </c>
      <c r="L27" s="16">
        <v>79</v>
      </c>
      <c r="M27" s="17">
        <v>59</v>
      </c>
      <c r="N27" s="18">
        <v>31</v>
      </c>
      <c r="O27" s="18">
        <v>17</v>
      </c>
      <c r="P27" s="16">
        <v>13</v>
      </c>
      <c r="Q27" s="17">
        <v>7</v>
      </c>
      <c r="R27" s="18">
        <v>3</v>
      </c>
      <c r="S27" s="18">
        <v>2</v>
      </c>
      <c r="T27" s="16">
        <v>1</v>
      </c>
      <c r="U27" s="17">
        <v>6</v>
      </c>
    </row>
    <row r="28" spans="1:21">
      <c r="A28" s="1" t="s">
        <v>14</v>
      </c>
      <c r="B28" s="41"/>
      <c r="C28" s="1" t="s">
        <v>47</v>
      </c>
      <c r="D28" s="18">
        <v>9</v>
      </c>
      <c r="E28" s="18">
        <v>9</v>
      </c>
      <c r="F28" s="16">
        <v>4</v>
      </c>
      <c r="G28" s="18">
        <v>4</v>
      </c>
      <c r="H28" s="16">
        <v>29</v>
      </c>
      <c r="I28" s="17">
        <v>33</v>
      </c>
      <c r="J28" s="18">
        <v>10</v>
      </c>
      <c r="K28" s="18">
        <v>9</v>
      </c>
      <c r="L28" s="16">
        <v>59</v>
      </c>
      <c r="M28" s="17">
        <v>50</v>
      </c>
      <c r="N28" s="18">
        <v>26</v>
      </c>
      <c r="O28" s="18">
        <v>18</v>
      </c>
      <c r="P28" s="16">
        <v>3</v>
      </c>
      <c r="Q28" s="17">
        <v>6</v>
      </c>
      <c r="R28" s="18">
        <v>3</v>
      </c>
      <c r="S28" s="18">
        <v>6</v>
      </c>
      <c r="T28" s="16">
        <v>5</v>
      </c>
      <c r="U28" s="17">
        <v>9</v>
      </c>
    </row>
    <row r="29" spans="1:21">
      <c r="A29" s="1" t="s">
        <v>14</v>
      </c>
      <c r="B29" s="41"/>
      <c r="C29" s="1" t="s">
        <v>48</v>
      </c>
      <c r="D29" s="18">
        <v>7</v>
      </c>
      <c r="E29" s="18">
        <v>5</v>
      </c>
      <c r="F29" s="16">
        <v>6</v>
      </c>
      <c r="G29" s="18">
        <v>4</v>
      </c>
      <c r="H29" s="16">
        <v>15</v>
      </c>
      <c r="I29" s="17">
        <v>18</v>
      </c>
      <c r="J29" s="18">
        <v>6</v>
      </c>
      <c r="K29" s="18">
        <v>11</v>
      </c>
      <c r="L29" s="16">
        <v>15</v>
      </c>
      <c r="M29" s="17">
        <v>20</v>
      </c>
      <c r="N29" s="18">
        <v>5</v>
      </c>
      <c r="O29" s="18">
        <v>18</v>
      </c>
      <c r="P29" s="16">
        <v>4</v>
      </c>
      <c r="Q29" s="17">
        <v>1</v>
      </c>
      <c r="R29" s="18">
        <v>1</v>
      </c>
      <c r="S29" s="18">
        <v>2</v>
      </c>
      <c r="T29" s="16">
        <v>1</v>
      </c>
      <c r="U29" s="17">
        <v>1</v>
      </c>
    </row>
    <row r="30" spans="1:21">
      <c r="A30" s="1" t="s">
        <v>9</v>
      </c>
      <c r="B30" s="41" t="s">
        <v>49</v>
      </c>
      <c r="C30" s="1" t="s">
        <v>50</v>
      </c>
      <c r="D30" s="18">
        <v>0</v>
      </c>
      <c r="E30" s="18">
        <v>1</v>
      </c>
      <c r="F30" s="16">
        <v>3</v>
      </c>
      <c r="G30" s="18">
        <v>1</v>
      </c>
      <c r="H30" s="16">
        <v>25</v>
      </c>
      <c r="I30" s="17">
        <v>12</v>
      </c>
      <c r="J30" s="18">
        <v>103</v>
      </c>
      <c r="K30" s="18">
        <v>34</v>
      </c>
      <c r="L30" s="16">
        <v>0</v>
      </c>
      <c r="M30" s="17">
        <v>1</v>
      </c>
      <c r="N30" s="18">
        <v>7</v>
      </c>
      <c r="O30" s="18">
        <v>7</v>
      </c>
      <c r="P30" s="16">
        <v>0</v>
      </c>
      <c r="Q30" s="17">
        <v>0</v>
      </c>
      <c r="R30" s="18">
        <v>0</v>
      </c>
      <c r="S30" s="18">
        <v>0</v>
      </c>
      <c r="T30" s="16">
        <v>2</v>
      </c>
      <c r="U30" s="17">
        <v>0</v>
      </c>
    </row>
    <row r="31" spans="1:21">
      <c r="A31" s="1" t="s">
        <v>9</v>
      </c>
      <c r="B31" s="41"/>
      <c r="C31" s="1" t="s">
        <v>51</v>
      </c>
      <c r="D31" s="18">
        <v>6</v>
      </c>
      <c r="E31" s="18">
        <v>2</v>
      </c>
      <c r="F31" s="16">
        <v>8</v>
      </c>
      <c r="G31" s="18">
        <v>9</v>
      </c>
      <c r="H31" s="16">
        <v>26</v>
      </c>
      <c r="I31" s="17">
        <v>28</v>
      </c>
      <c r="J31" s="18">
        <v>58</v>
      </c>
      <c r="K31" s="18">
        <v>73</v>
      </c>
      <c r="L31" s="16">
        <v>3</v>
      </c>
      <c r="M31" s="17">
        <v>3</v>
      </c>
      <c r="N31" s="18">
        <v>6</v>
      </c>
      <c r="O31" s="18">
        <v>10</v>
      </c>
      <c r="P31" s="16">
        <v>0</v>
      </c>
      <c r="Q31" s="17">
        <v>3</v>
      </c>
      <c r="R31" s="18">
        <v>2</v>
      </c>
      <c r="S31" s="18">
        <v>6</v>
      </c>
      <c r="T31" s="16">
        <v>7</v>
      </c>
      <c r="U31" s="17">
        <v>9</v>
      </c>
    </row>
    <row r="32" spans="1:21">
      <c r="A32" s="1" t="s">
        <v>9</v>
      </c>
      <c r="B32" s="41"/>
      <c r="C32" s="1" t="s">
        <v>52</v>
      </c>
      <c r="D32" s="18">
        <v>1</v>
      </c>
      <c r="E32" s="18">
        <v>3</v>
      </c>
      <c r="F32" s="16">
        <v>7</v>
      </c>
      <c r="G32" s="18">
        <v>6</v>
      </c>
      <c r="H32" s="16">
        <v>6</v>
      </c>
      <c r="I32" s="17">
        <v>10</v>
      </c>
      <c r="J32" s="18">
        <v>16</v>
      </c>
      <c r="K32" s="18">
        <v>10</v>
      </c>
      <c r="L32" s="16">
        <v>3</v>
      </c>
      <c r="M32" s="17">
        <v>3</v>
      </c>
      <c r="N32" s="18">
        <v>5</v>
      </c>
      <c r="O32" s="18">
        <v>1</v>
      </c>
      <c r="P32" s="16">
        <v>5</v>
      </c>
      <c r="Q32" s="17">
        <v>5</v>
      </c>
      <c r="R32" s="18">
        <v>5</v>
      </c>
      <c r="S32" s="18">
        <v>0</v>
      </c>
      <c r="T32" s="16">
        <v>1</v>
      </c>
      <c r="U32" s="17">
        <v>4</v>
      </c>
    </row>
    <row r="33" spans="1:21">
      <c r="A33" s="1" t="s">
        <v>9</v>
      </c>
      <c r="B33" s="41"/>
      <c r="C33" s="1" t="s">
        <v>53</v>
      </c>
      <c r="D33" s="18">
        <v>0</v>
      </c>
      <c r="E33" s="18">
        <v>0</v>
      </c>
      <c r="F33" s="16">
        <v>5</v>
      </c>
      <c r="G33" s="18">
        <v>3</v>
      </c>
      <c r="H33" s="16">
        <v>12</v>
      </c>
      <c r="I33" s="17">
        <v>11</v>
      </c>
      <c r="J33" s="18">
        <v>21</v>
      </c>
      <c r="K33" s="18">
        <v>27</v>
      </c>
      <c r="L33" s="16">
        <v>0</v>
      </c>
      <c r="M33" s="17">
        <v>0</v>
      </c>
      <c r="N33" s="18">
        <v>4</v>
      </c>
      <c r="O33" s="18">
        <v>5</v>
      </c>
      <c r="P33" s="16">
        <v>0</v>
      </c>
      <c r="Q33" s="17">
        <v>0</v>
      </c>
      <c r="R33" s="18">
        <v>0</v>
      </c>
      <c r="S33" s="18">
        <v>1</v>
      </c>
      <c r="T33" s="16">
        <v>2</v>
      </c>
      <c r="U33" s="17">
        <v>0</v>
      </c>
    </row>
    <row r="34" spans="1:21">
      <c r="A34" s="1" t="s">
        <v>9</v>
      </c>
      <c r="B34" s="41"/>
      <c r="C34" s="1" t="s">
        <v>54</v>
      </c>
      <c r="D34" s="18">
        <v>2</v>
      </c>
      <c r="E34" s="18">
        <v>2</v>
      </c>
      <c r="F34" s="16">
        <v>19</v>
      </c>
      <c r="G34" s="18">
        <v>15</v>
      </c>
      <c r="H34" s="16">
        <v>40</v>
      </c>
      <c r="I34" s="17">
        <v>47</v>
      </c>
      <c r="J34" s="18">
        <v>67</v>
      </c>
      <c r="K34" s="18">
        <v>33</v>
      </c>
      <c r="L34" s="16">
        <v>9</v>
      </c>
      <c r="M34" s="17">
        <v>8</v>
      </c>
      <c r="N34" s="18">
        <v>5</v>
      </c>
      <c r="O34" s="18">
        <v>13</v>
      </c>
      <c r="P34" s="16">
        <v>2</v>
      </c>
      <c r="Q34" s="17">
        <v>11</v>
      </c>
      <c r="R34" s="18">
        <v>2</v>
      </c>
      <c r="S34" s="18">
        <v>3</v>
      </c>
      <c r="T34" s="16">
        <v>5</v>
      </c>
      <c r="U34" s="17">
        <v>5</v>
      </c>
    </row>
    <row r="35" spans="1:21">
      <c r="A35" s="1" t="s">
        <v>9</v>
      </c>
      <c r="B35" s="41"/>
      <c r="C35" s="1" t="s">
        <v>55</v>
      </c>
      <c r="D35" s="18">
        <v>5</v>
      </c>
      <c r="E35" s="18">
        <v>3</v>
      </c>
      <c r="F35" s="16">
        <v>15</v>
      </c>
      <c r="G35" s="18">
        <v>8</v>
      </c>
      <c r="H35" s="16">
        <v>28</v>
      </c>
      <c r="I35" s="17">
        <v>12</v>
      </c>
      <c r="J35" s="18">
        <v>38</v>
      </c>
      <c r="K35" s="18">
        <v>34</v>
      </c>
      <c r="L35" s="16">
        <v>4</v>
      </c>
      <c r="M35" s="17">
        <v>6</v>
      </c>
      <c r="N35" s="18">
        <v>7</v>
      </c>
      <c r="O35" s="18">
        <v>5</v>
      </c>
      <c r="P35" s="16">
        <v>8</v>
      </c>
      <c r="Q35" s="17">
        <v>5</v>
      </c>
      <c r="R35" s="18">
        <v>3</v>
      </c>
      <c r="S35" s="18">
        <v>2</v>
      </c>
      <c r="T35" s="16">
        <v>3</v>
      </c>
      <c r="U35" s="17">
        <v>3</v>
      </c>
    </row>
    <row r="36" spans="1:21">
      <c r="A36" s="1" t="s">
        <v>9</v>
      </c>
      <c r="B36" s="41" t="s">
        <v>56</v>
      </c>
      <c r="C36" s="1" t="s">
        <v>57</v>
      </c>
      <c r="D36" s="18">
        <v>10</v>
      </c>
      <c r="E36" s="18">
        <v>4</v>
      </c>
      <c r="F36" s="16">
        <v>18</v>
      </c>
      <c r="G36" s="18">
        <v>1</v>
      </c>
      <c r="H36" s="16">
        <v>73</v>
      </c>
      <c r="I36" s="17">
        <v>32</v>
      </c>
      <c r="J36" s="18">
        <v>25</v>
      </c>
      <c r="K36" s="18">
        <v>6</v>
      </c>
      <c r="L36" s="16">
        <v>29</v>
      </c>
      <c r="M36" s="17">
        <v>3</v>
      </c>
      <c r="N36" s="18">
        <v>16</v>
      </c>
      <c r="O36" s="18">
        <v>31</v>
      </c>
      <c r="P36" s="16">
        <v>13</v>
      </c>
      <c r="Q36" s="17">
        <v>1</v>
      </c>
      <c r="R36" s="18">
        <v>1</v>
      </c>
      <c r="S36" s="18">
        <v>3</v>
      </c>
      <c r="T36" s="16">
        <v>1</v>
      </c>
      <c r="U36" s="17">
        <v>0</v>
      </c>
    </row>
    <row r="37" spans="1:21">
      <c r="A37" s="1" t="s">
        <v>14</v>
      </c>
      <c r="B37" s="41"/>
      <c r="C37" s="1" t="s">
        <v>58</v>
      </c>
      <c r="D37" s="26">
        <v>0</v>
      </c>
      <c r="E37" s="50"/>
      <c r="F37" s="26">
        <v>2</v>
      </c>
      <c r="G37" s="27"/>
      <c r="H37" s="26">
        <v>11</v>
      </c>
      <c r="I37" s="27"/>
      <c r="J37" s="26">
        <v>2</v>
      </c>
      <c r="K37" s="27"/>
      <c r="L37" s="26">
        <v>6</v>
      </c>
      <c r="M37" s="27"/>
      <c r="N37" s="26">
        <v>0</v>
      </c>
      <c r="O37" s="27"/>
      <c r="P37" s="26">
        <v>0</v>
      </c>
      <c r="Q37" s="27"/>
      <c r="R37" s="26">
        <v>0</v>
      </c>
      <c r="S37" s="27"/>
      <c r="T37" s="26">
        <v>1</v>
      </c>
      <c r="U37" s="27"/>
    </row>
    <row r="38" spans="1:21">
      <c r="A38" s="1" t="s">
        <v>9</v>
      </c>
      <c r="B38" s="1" t="s">
        <v>59</v>
      </c>
      <c r="C38" s="1" t="s">
        <v>60</v>
      </c>
      <c r="D38" s="18">
        <v>7</v>
      </c>
      <c r="E38" s="18">
        <v>5</v>
      </c>
      <c r="F38" s="16">
        <v>11</v>
      </c>
      <c r="G38" s="18">
        <v>1</v>
      </c>
      <c r="H38" s="16">
        <v>54</v>
      </c>
      <c r="I38" s="17">
        <v>20</v>
      </c>
      <c r="J38" s="18">
        <v>48</v>
      </c>
      <c r="K38" s="18">
        <v>10</v>
      </c>
      <c r="L38" s="16">
        <v>11</v>
      </c>
      <c r="M38" s="17">
        <v>1</v>
      </c>
      <c r="N38" s="18">
        <v>13</v>
      </c>
      <c r="O38" s="18">
        <v>0</v>
      </c>
      <c r="P38" s="16">
        <v>4</v>
      </c>
      <c r="Q38" s="17">
        <v>1</v>
      </c>
      <c r="R38" s="18">
        <v>2</v>
      </c>
      <c r="S38" s="18">
        <v>1</v>
      </c>
      <c r="T38" s="16">
        <v>1</v>
      </c>
      <c r="U38" s="17">
        <v>1</v>
      </c>
    </row>
    <row r="39" spans="1:21">
      <c r="A39" s="1" t="s">
        <v>9</v>
      </c>
      <c r="B39" s="28" t="s">
        <v>61</v>
      </c>
      <c r="C39" s="1" t="s">
        <v>62</v>
      </c>
      <c r="D39" s="18">
        <v>6</v>
      </c>
      <c r="E39" s="18">
        <v>6</v>
      </c>
      <c r="F39" s="16">
        <v>25</v>
      </c>
      <c r="G39" s="18">
        <v>27</v>
      </c>
      <c r="H39" s="16">
        <v>43</v>
      </c>
      <c r="I39" s="17">
        <v>57</v>
      </c>
      <c r="J39" s="18">
        <v>59</v>
      </c>
      <c r="K39" s="18">
        <v>70</v>
      </c>
      <c r="L39" s="16">
        <v>20</v>
      </c>
      <c r="M39" s="17">
        <v>10</v>
      </c>
      <c r="N39" s="18">
        <v>19</v>
      </c>
      <c r="O39" s="18">
        <v>18</v>
      </c>
      <c r="P39" s="16">
        <v>4</v>
      </c>
      <c r="Q39" s="17">
        <v>4</v>
      </c>
      <c r="R39" s="18">
        <v>3</v>
      </c>
      <c r="S39" s="18">
        <v>2</v>
      </c>
      <c r="T39" s="16">
        <v>2</v>
      </c>
      <c r="U39" s="17">
        <v>2</v>
      </c>
    </row>
    <row r="40" spans="1:21">
      <c r="A40" s="1" t="s">
        <v>9</v>
      </c>
      <c r="B40" s="30"/>
      <c r="C40" s="1" t="s">
        <v>63</v>
      </c>
      <c r="D40" s="18">
        <v>1</v>
      </c>
      <c r="E40" s="18">
        <v>3</v>
      </c>
      <c r="F40" s="16">
        <v>24</v>
      </c>
      <c r="G40" s="18">
        <v>15</v>
      </c>
      <c r="H40" s="16">
        <v>76</v>
      </c>
      <c r="I40" s="17">
        <v>39</v>
      </c>
      <c r="J40" s="18">
        <v>44</v>
      </c>
      <c r="K40" s="18">
        <v>39</v>
      </c>
      <c r="L40" s="16">
        <v>2</v>
      </c>
      <c r="M40" s="17">
        <v>6</v>
      </c>
      <c r="N40" s="18">
        <v>14</v>
      </c>
      <c r="O40" s="18">
        <v>13</v>
      </c>
      <c r="P40" s="16">
        <v>7</v>
      </c>
      <c r="Q40" s="17">
        <v>6</v>
      </c>
      <c r="R40" s="18">
        <v>6</v>
      </c>
      <c r="S40" s="18">
        <v>0</v>
      </c>
      <c r="T40" s="16">
        <v>2</v>
      </c>
      <c r="U40" s="17">
        <v>4</v>
      </c>
    </row>
    <row r="41" spans="1:21">
      <c r="A41" s="1" t="s">
        <v>9</v>
      </c>
      <c r="B41" s="28" t="s">
        <v>64</v>
      </c>
      <c r="C41" s="1" t="s">
        <v>65</v>
      </c>
      <c r="D41" s="18">
        <v>135</v>
      </c>
      <c r="E41" s="18">
        <v>113</v>
      </c>
      <c r="F41" s="16">
        <v>12</v>
      </c>
      <c r="G41" s="18">
        <v>5</v>
      </c>
      <c r="H41" s="16">
        <v>21</v>
      </c>
      <c r="I41" s="17">
        <v>25</v>
      </c>
      <c r="J41" s="18">
        <v>18</v>
      </c>
      <c r="K41" s="18">
        <v>14</v>
      </c>
      <c r="L41" s="16">
        <v>13</v>
      </c>
      <c r="M41" s="17">
        <v>8</v>
      </c>
      <c r="N41" s="18">
        <v>32</v>
      </c>
      <c r="O41" s="18">
        <v>28</v>
      </c>
      <c r="P41" s="16">
        <v>13</v>
      </c>
      <c r="Q41" s="17">
        <v>8</v>
      </c>
      <c r="R41" s="18">
        <v>4</v>
      </c>
      <c r="S41" s="18">
        <v>2</v>
      </c>
      <c r="T41" s="16">
        <v>2</v>
      </c>
      <c r="U41" s="17">
        <v>9</v>
      </c>
    </row>
    <row r="42" spans="1:21">
      <c r="A42" s="1" t="s">
        <v>9</v>
      </c>
      <c r="B42" s="29"/>
      <c r="C42" s="1" t="s">
        <v>66</v>
      </c>
      <c r="D42" s="18">
        <v>90</v>
      </c>
      <c r="E42" s="18">
        <v>65</v>
      </c>
      <c r="F42" s="16">
        <v>6</v>
      </c>
      <c r="G42" s="18">
        <v>5</v>
      </c>
      <c r="H42" s="16">
        <v>36</v>
      </c>
      <c r="I42" s="17">
        <v>24</v>
      </c>
      <c r="J42" s="18">
        <v>15</v>
      </c>
      <c r="K42" s="18">
        <v>15</v>
      </c>
      <c r="L42" s="16">
        <v>13</v>
      </c>
      <c r="M42" s="17">
        <v>12</v>
      </c>
      <c r="N42" s="18">
        <v>21</v>
      </c>
      <c r="O42" s="18">
        <v>15</v>
      </c>
      <c r="P42" s="16">
        <v>19</v>
      </c>
      <c r="Q42" s="17">
        <v>4</v>
      </c>
      <c r="R42" s="18">
        <v>2</v>
      </c>
      <c r="S42" s="18">
        <v>4</v>
      </c>
      <c r="T42" s="16">
        <v>1</v>
      </c>
      <c r="U42" s="17">
        <v>5</v>
      </c>
    </row>
    <row r="43" spans="1:21">
      <c r="A43" s="1" t="s">
        <v>9</v>
      </c>
      <c r="B43" s="29"/>
      <c r="C43" s="1" t="s">
        <v>67</v>
      </c>
      <c r="D43" s="18">
        <v>85</v>
      </c>
      <c r="E43" s="18">
        <v>40</v>
      </c>
      <c r="F43" s="16">
        <v>9</v>
      </c>
      <c r="G43" s="18">
        <v>9</v>
      </c>
      <c r="H43" s="16">
        <v>42</v>
      </c>
      <c r="I43" s="17">
        <v>24</v>
      </c>
      <c r="J43" s="18">
        <v>7</v>
      </c>
      <c r="K43" s="18">
        <v>7</v>
      </c>
      <c r="L43" s="16">
        <v>13</v>
      </c>
      <c r="M43" s="17">
        <v>9</v>
      </c>
      <c r="N43" s="18">
        <v>53</v>
      </c>
      <c r="O43" s="18">
        <v>22</v>
      </c>
      <c r="P43" s="16">
        <v>16</v>
      </c>
      <c r="Q43" s="17">
        <v>7</v>
      </c>
      <c r="R43" s="18">
        <v>4</v>
      </c>
      <c r="S43" s="18">
        <v>6</v>
      </c>
      <c r="T43" s="16">
        <v>2</v>
      </c>
      <c r="U43" s="17">
        <v>0</v>
      </c>
    </row>
    <row r="44" spans="1:21">
      <c r="A44" s="1" t="s">
        <v>9</v>
      </c>
      <c r="B44" s="29"/>
      <c r="C44" s="1" t="s">
        <v>68</v>
      </c>
      <c r="D44" s="18">
        <v>100</v>
      </c>
      <c r="E44" s="18">
        <v>52</v>
      </c>
      <c r="F44" s="16">
        <v>9</v>
      </c>
      <c r="G44" s="18">
        <v>3</v>
      </c>
      <c r="H44" s="16">
        <v>33</v>
      </c>
      <c r="I44" s="17">
        <v>20</v>
      </c>
      <c r="J44" s="18">
        <v>9</v>
      </c>
      <c r="K44" s="18">
        <v>6</v>
      </c>
      <c r="L44" s="16">
        <v>13</v>
      </c>
      <c r="M44" s="17">
        <v>9</v>
      </c>
      <c r="N44" s="18">
        <v>39</v>
      </c>
      <c r="O44" s="18">
        <v>13</v>
      </c>
      <c r="P44" s="16">
        <v>14</v>
      </c>
      <c r="Q44" s="17">
        <v>6</v>
      </c>
      <c r="R44" s="18">
        <v>1</v>
      </c>
      <c r="S44" s="18">
        <v>2</v>
      </c>
      <c r="T44" s="16">
        <v>1</v>
      </c>
      <c r="U44" s="17">
        <v>3</v>
      </c>
    </row>
    <row r="45" spans="1:21">
      <c r="A45" s="1" t="s">
        <v>9</v>
      </c>
      <c r="B45" s="30"/>
      <c r="C45" s="1" t="s">
        <v>69</v>
      </c>
      <c r="D45" s="18">
        <v>86</v>
      </c>
      <c r="E45" s="18">
        <v>80</v>
      </c>
      <c r="F45" s="16">
        <v>10</v>
      </c>
      <c r="G45" s="18">
        <v>7</v>
      </c>
      <c r="H45" s="16">
        <v>42</v>
      </c>
      <c r="I45" s="17">
        <v>48</v>
      </c>
      <c r="J45" s="18">
        <v>13</v>
      </c>
      <c r="K45" s="18">
        <v>14</v>
      </c>
      <c r="L45" s="16">
        <v>18</v>
      </c>
      <c r="M45" s="17">
        <v>15</v>
      </c>
      <c r="N45" s="18">
        <v>34</v>
      </c>
      <c r="O45" s="18">
        <v>34</v>
      </c>
      <c r="P45" s="16">
        <v>13</v>
      </c>
      <c r="Q45" s="17">
        <v>12</v>
      </c>
      <c r="R45" s="18">
        <v>5</v>
      </c>
      <c r="S45" s="18">
        <v>2</v>
      </c>
      <c r="T45" s="16">
        <v>3</v>
      </c>
      <c r="U45" s="17">
        <v>2</v>
      </c>
    </row>
    <row r="46" spans="1:21">
      <c r="A46" s="1" t="s">
        <v>30</v>
      </c>
      <c r="B46" s="28" t="s">
        <v>70</v>
      </c>
      <c r="C46" s="1" t="s">
        <v>71</v>
      </c>
      <c r="D46" s="18">
        <v>14</v>
      </c>
      <c r="E46" s="18">
        <v>18</v>
      </c>
      <c r="F46" s="16">
        <v>29</v>
      </c>
      <c r="G46" s="18">
        <v>22</v>
      </c>
      <c r="H46" s="16">
        <v>42</v>
      </c>
      <c r="I46" s="17">
        <v>40</v>
      </c>
      <c r="J46" s="18">
        <v>23</v>
      </c>
      <c r="K46" s="18">
        <v>17</v>
      </c>
      <c r="L46" s="16">
        <v>18</v>
      </c>
      <c r="M46" s="17">
        <v>13</v>
      </c>
      <c r="N46" s="18">
        <v>24</v>
      </c>
      <c r="O46" s="18">
        <v>22</v>
      </c>
      <c r="P46" s="16">
        <v>10</v>
      </c>
      <c r="Q46" s="17">
        <v>22</v>
      </c>
      <c r="R46" s="18">
        <v>17</v>
      </c>
      <c r="S46" s="18">
        <v>12</v>
      </c>
      <c r="T46" s="16">
        <v>7</v>
      </c>
      <c r="U46" s="17">
        <v>9</v>
      </c>
    </row>
    <row r="47" spans="1:21">
      <c r="A47" s="1" t="s">
        <v>30</v>
      </c>
      <c r="B47" s="30"/>
      <c r="C47" s="1" t="s">
        <v>72</v>
      </c>
      <c r="D47" s="18">
        <v>5</v>
      </c>
      <c r="E47" s="18">
        <v>16</v>
      </c>
      <c r="F47" s="16">
        <v>43</v>
      </c>
      <c r="G47" s="18">
        <v>27</v>
      </c>
      <c r="H47" s="16">
        <v>68</v>
      </c>
      <c r="I47" s="17">
        <v>62</v>
      </c>
      <c r="J47" s="18">
        <v>41</v>
      </c>
      <c r="K47" s="18">
        <v>53</v>
      </c>
      <c r="L47" s="16">
        <v>13</v>
      </c>
      <c r="M47" s="17">
        <v>14</v>
      </c>
      <c r="N47" s="18">
        <v>35</v>
      </c>
      <c r="O47" s="18">
        <v>59</v>
      </c>
      <c r="P47" s="16">
        <v>19</v>
      </c>
      <c r="Q47" s="17">
        <v>19</v>
      </c>
      <c r="R47" s="18">
        <v>6</v>
      </c>
      <c r="S47" s="18">
        <v>4</v>
      </c>
      <c r="T47" s="16">
        <v>4</v>
      </c>
      <c r="U47" s="17">
        <v>6</v>
      </c>
    </row>
    <row r="48" spans="1:21">
      <c r="A48" s="1" t="s">
        <v>14</v>
      </c>
      <c r="B48" s="28" t="s">
        <v>73</v>
      </c>
      <c r="C48" s="1" t="s">
        <v>74</v>
      </c>
      <c r="D48" s="18">
        <v>13</v>
      </c>
      <c r="E48" s="18">
        <v>15</v>
      </c>
      <c r="F48" s="16">
        <v>6</v>
      </c>
      <c r="G48" s="18">
        <v>22</v>
      </c>
      <c r="H48" s="16">
        <v>20</v>
      </c>
      <c r="I48" s="17">
        <v>32</v>
      </c>
      <c r="J48" s="18">
        <v>7</v>
      </c>
      <c r="K48" s="18">
        <v>17</v>
      </c>
      <c r="L48" s="16">
        <v>19</v>
      </c>
      <c r="M48" s="17">
        <v>20</v>
      </c>
      <c r="N48" s="18">
        <v>36</v>
      </c>
      <c r="O48" s="18">
        <v>28</v>
      </c>
      <c r="P48" s="16">
        <v>6</v>
      </c>
      <c r="Q48" s="17">
        <v>2</v>
      </c>
      <c r="R48" s="18">
        <v>1</v>
      </c>
      <c r="S48" s="18">
        <v>5</v>
      </c>
      <c r="T48" s="16">
        <v>2</v>
      </c>
      <c r="U48" s="17">
        <v>1</v>
      </c>
    </row>
    <row r="49" spans="1:22">
      <c r="A49" s="1" t="s">
        <v>75</v>
      </c>
      <c r="B49" s="30"/>
      <c r="C49" s="1" t="s">
        <v>76</v>
      </c>
      <c r="D49" s="16">
        <v>5</v>
      </c>
      <c r="E49" s="18">
        <v>0</v>
      </c>
      <c r="F49" s="16">
        <v>16</v>
      </c>
      <c r="G49" s="17">
        <v>1</v>
      </c>
      <c r="H49" s="16">
        <v>6</v>
      </c>
      <c r="I49" s="17">
        <v>2</v>
      </c>
      <c r="J49" s="16">
        <v>2</v>
      </c>
      <c r="K49" s="17">
        <v>2</v>
      </c>
      <c r="L49" s="16">
        <v>2</v>
      </c>
      <c r="M49" s="17">
        <v>0</v>
      </c>
      <c r="N49" s="16">
        <v>10</v>
      </c>
      <c r="O49" s="17">
        <v>2</v>
      </c>
      <c r="P49" s="16">
        <v>2</v>
      </c>
      <c r="Q49" s="17">
        <v>1</v>
      </c>
      <c r="R49" s="16">
        <v>1</v>
      </c>
      <c r="S49" s="17">
        <v>0</v>
      </c>
      <c r="T49" s="16">
        <v>3</v>
      </c>
      <c r="U49" s="17">
        <v>1</v>
      </c>
    </row>
    <row r="50" spans="1:22">
      <c r="A50" s="1" t="s">
        <v>9</v>
      </c>
      <c r="B50" s="1" t="s">
        <v>77</v>
      </c>
      <c r="C50" s="1" t="s">
        <v>78</v>
      </c>
      <c r="D50" s="18">
        <v>7</v>
      </c>
      <c r="E50" s="18">
        <v>9</v>
      </c>
      <c r="F50" s="16">
        <v>3</v>
      </c>
      <c r="G50" s="18">
        <v>9</v>
      </c>
      <c r="H50" s="16">
        <v>30</v>
      </c>
      <c r="I50" s="17">
        <v>41</v>
      </c>
      <c r="J50" s="18">
        <v>5</v>
      </c>
      <c r="K50" s="18">
        <v>4</v>
      </c>
      <c r="L50" s="16">
        <v>16</v>
      </c>
      <c r="M50" s="17">
        <v>17</v>
      </c>
      <c r="N50" s="18">
        <v>11</v>
      </c>
      <c r="O50" s="18">
        <v>23</v>
      </c>
      <c r="P50" s="16">
        <v>8</v>
      </c>
      <c r="Q50" s="17">
        <v>4</v>
      </c>
      <c r="R50" s="18">
        <v>3</v>
      </c>
      <c r="S50" s="18">
        <v>8</v>
      </c>
      <c r="T50" s="16">
        <v>1</v>
      </c>
      <c r="U50" s="17">
        <v>3</v>
      </c>
    </row>
    <row r="51" spans="1:22">
      <c r="A51" s="1" t="s">
        <v>32</v>
      </c>
      <c r="B51" s="28" t="s">
        <v>79</v>
      </c>
      <c r="C51" s="1" t="s">
        <v>80</v>
      </c>
      <c r="D51" s="18">
        <v>3</v>
      </c>
      <c r="E51" s="18">
        <v>3</v>
      </c>
      <c r="F51" s="16">
        <v>60</v>
      </c>
      <c r="G51" s="18">
        <v>58</v>
      </c>
      <c r="H51" s="16">
        <v>40</v>
      </c>
      <c r="I51" s="17">
        <v>38</v>
      </c>
      <c r="J51" s="18">
        <v>34</v>
      </c>
      <c r="K51" s="18">
        <v>42</v>
      </c>
      <c r="L51" s="16">
        <v>12</v>
      </c>
      <c r="M51" s="17">
        <v>14</v>
      </c>
      <c r="N51" s="18">
        <v>18</v>
      </c>
      <c r="O51" s="18">
        <v>18</v>
      </c>
      <c r="P51" s="16">
        <v>5</v>
      </c>
      <c r="Q51" s="17">
        <v>10</v>
      </c>
      <c r="R51" s="18">
        <v>12</v>
      </c>
      <c r="S51" s="18">
        <v>10</v>
      </c>
      <c r="T51" s="16">
        <v>8</v>
      </c>
      <c r="U51" s="17">
        <v>7</v>
      </c>
    </row>
    <row r="52" spans="1:22">
      <c r="A52" s="1" t="s">
        <v>32</v>
      </c>
      <c r="B52" s="30"/>
      <c r="C52" s="1" t="s">
        <v>81</v>
      </c>
      <c r="D52" s="18"/>
      <c r="E52" s="18"/>
      <c r="F52" s="16"/>
      <c r="G52" s="18"/>
      <c r="H52" s="16"/>
      <c r="I52" s="17"/>
      <c r="J52" s="18"/>
      <c r="K52" s="18"/>
      <c r="L52" s="16"/>
      <c r="M52" s="17"/>
      <c r="N52" s="18"/>
      <c r="O52" s="18"/>
      <c r="P52" s="16"/>
      <c r="Q52" s="17"/>
      <c r="R52" s="18"/>
      <c r="S52" s="18"/>
      <c r="T52" s="16"/>
      <c r="U52" s="17"/>
    </row>
    <row r="53" spans="1:22">
      <c r="A53" s="1" t="s">
        <v>9</v>
      </c>
      <c r="B53" s="1" t="s">
        <v>82</v>
      </c>
      <c r="C53" s="1" t="s">
        <v>83</v>
      </c>
      <c r="D53" s="18">
        <v>21</v>
      </c>
      <c r="E53" s="18">
        <v>7</v>
      </c>
      <c r="F53" s="16">
        <v>39</v>
      </c>
      <c r="G53" s="18">
        <v>29</v>
      </c>
      <c r="H53" s="16">
        <v>87</v>
      </c>
      <c r="I53" s="17">
        <v>77</v>
      </c>
      <c r="J53" s="18">
        <v>43</v>
      </c>
      <c r="K53" s="18">
        <v>40</v>
      </c>
      <c r="L53" s="16">
        <v>17</v>
      </c>
      <c r="M53" s="17">
        <v>6</v>
      </c>
      <c r="N53" s="18">
        <v>32</v>
      </c>
      <c r="O53" s="18">
        <v>8</v>
      </c>
      <c r="P53" s="16">
        <v>7</v>
      </c>
      <c r="Q53" s="17">
        <v>15</v>
      </c>
      <c r="R53" s="18">
        <v>4</v>
      </c>
      <c r="S53" s="18">
        <v>4</v>
      </c>
      <c r="T53" s="16">
        <v>0</v>
      </c>
      <c r="U53" s="17">
        <v>3</v>
      </c>
    </row>
    <row r="54" spans="1:22">
      <c r="A54" s="1" t="s">
        <v>9</v>
      </c>
      <c r="B54" s="1" t="s">
        <v>84</v>
      </c>
      <c r="C54" s="1" t="s">
        <v>85</v>
      </c>
      <c r="D54" s="18">
        <v>7</v>
      </c>
      <c r="E54" s="18">
        <v>5</v>
      </c>
      <c r="F54" s="16">
        <v>13</v>
      </c>
      <c r="G54" s="18">
        <v>10</v>
      </c>
      <c r="H54" s="16">
        <v>77</v>
      </c>
      <c r="I54" s="17">
        <v>64</v>
      </c>
      <c r="J54" s="18">
        <v>24</v>
      </c>
      <c r="K54" s="18">
        <v>18</v>
      </c>
      <c r="L54" s="16">
        <v>8</v>
      </c>
      <c r="M54" s="17">
        <v>4</v>
      </c>
      <c r="N54" s="18">
        <v>21</v>
      </c>
      <c r="O54" s="18">
        <v>20</v>
      </c>
      <c r="P54" s="16">
        <v>4</v>
      </c>
      <c r="Q54" s="17">
        <v>7</v>
      </c>
      <c r="R54" s="18">
        <v>1</v>
      </c>
      <c r="S54" s="18">
        <v>5</v>
      </c>
      <c r="T54" s="16">
        <v>4</v>
      </c>
      <c r="U54" s="17">
        <v>1</v>
      </c>
    </row>
    <row r="55" spans="1:22">
      <c r="A55" s="1" t="s">
        <v>9</v>
      </c>
      <c r="B55" s="28" t="s">
        <v>86</v>
      </c>
      <c r="C55" s="1" t="s">
        <v>87</v>
      </c>
      <c r="D55" s="18">
        <v>2</v>
      </c>
      <c r="E55" s="18">
        <v>3</v>
      </c>
      <c r="F55" s="16">
        <v>24</v>
      </c>
      <c r="G55" s="18">
        <v>11</v>
      </c>
      <c r="H55" s="16">
        <v>79</v>
      </c>
      <c r="I55" s="17">
        <v>55</v>
      </c>
      <c r="J55" s="18">
        <v>108</v>
      </c>
      <c r="K55" s="18">
        <v>72</v>
      </c>
      <c r="L55" s="16">
        <v>5</v>
      </c>
      <c r="M55" s="17">
        <v>4</v>
      </c>
      <c r="N55" s="18">
        <v>14</v>
      </c>
      <c r="O55" s="18">
        <v>16</v>
      </c>
      <c r="P55" s="16">
        <v>7</v>
      </c>
      <c r="Q55" s="17">
        <v>6</v>
      </c>
      <c r="R55" s="18">
        <v>3</v>
      </c>
      <c r="S55" s="18">
        <v>1</v>
      </c>
      <c r="T55" s="16">
        <v>4</v>
      </c>
      <c r="U55" s="17">
        <v>3</v>
      </c>
    </row>
    <row r="56" spans="1:22">
      <c r="A56" s="1" t="s">
        <v>9</v>
      </c>
      <c r="B56" s="29"/>
      <c r="C56" s="1" t="s">
        <v>88</v>
      </c>
      <c r="D56" s="18">
        <v>4</v>
      </c>
      <c r="E56" s="18">
        <v>3</v>
      </c>
      <c r="F56" s="16">
        <v>10</v>
      </c>
      <c r="G56" s="18">
        <v>3</v>
      </c>
      <c r="H56" s="16">
        <v>39</v>
      </c>
      <c r="I56" s="17">
        <v>25</v>
      </c>
      <c r="J56" s="18">
        <v>34</v>
      </c>
      <c r="K56" s="18">
        <v>18</v>
      </c>
      <c r="L56" s="16">
        <v>1</v>
      </c>
      <c r="M56" s="17">
        <v>5</v>
      </c>
      <c r="N56" s="18">
        <v>9</v>
      </c>
      <c r="O56" s="18">
        <v>5</v>
      </c>
      <c r="P56" s="16">
        <v>4</v>
      </c>
      <c r="Q56" s="17">
        <v>2</v>
      </c>
      <c r="R56" s="18">
        <v>1</v>
      </c>
      <c r="S56" s="18">
        <v>1</v>
      </c>
      <c r="T56" s="16">
        <v>3</v>
      </c>
      <c r="U56" s="17">
        <v>0</v>
      </c>
    </row>
    <row r="57" spans="1:22">
      <c r="A57" s="1" t="s">
        <v>9</v>
      </c>
      <c r="B57" s="30"/>
      <c r="C57" s="1" t="s">
        <v>89</v>
      </c>
      <c r="D57" s="18">
        <v>4</v>
      </c>
      <c r="E57" s="18">
        <v>4</v>
      </c>
      <c r="F57" s="16">
        <v>2</v>
      </c>
      <c r="G57" s="18">
        <v>1</v>
      </c>
      <c r="H57" s="16">
        <v>4</v>
      </c>
      <c r="I57" s="17">
        <v>1</v>
      </c>
      <c r="J57" s="18">
        <v>6</v>
      </c>
      <c r="K57" s="18">
        <v>4</v>
      </c>
      <c r="L57" s="16">
        <v>3</v>
      </c>
      <c r="M57" s="17">
        <v>3</v>
      </c>
      <c r="N57" s="18">
        <v>1</v>
      </c>
      <c r="O57" s="18">
        <v>1</v>
      </c>
      <c r="P57" s="16">
        <v>6</v>
      </c>
      <c r="Q57" s="17">
        <v>4</v>
      </c>
      <c r="R57" s="18">
        <v>3</v>
      </c>
      <c r="S57" s="18">
        <v>2</v>
      </c>
      <c r="T57" s="16">
        <v>7</v>
      </c>
      <c r="U57" s="17">
        <v>2</v>
      </c>
    </row>
    <row r="58" spans="1:22">
      <c r="A58" s="1" t="s">
        <v>90</v>
      </c>
      <c r="B58" s="1" t="s">
        <v>91</v>
      </c>
      <c r="C58" s="1" t="s">
        <v>92</v>
      </c>
      <c r="D58" s="26">
        <v>5</v>
      </c>
      <c r="E58" s="50"/>
      <c r="F58" s="26">
        <v>9</v>
      </c>
      <c r="G58" s="27"/>
      <c r="H58" s="26">
        <v>27</v>
      </c>
      <c r="I58" s="27"/>
      <c r="J58" s="26">
        <v>64</v>
      </c>
      <c r="K58" s="27"/>
      <c r="L58" s="26">
        <v>6</v>
      </c>
      <c r="M58" s="27"/>
      <c r="N58" s="26">
        <v>7</v>
      </c>
      <c r="O58" s="27"/>
      <c r="P58" s="26">
        <v>14</v>
      </c>
      <c r="Q58" s="27"/>
      <c r="R58" s="26">
        <v>10</v>
      </c>
      <c r="S58" s="27"/>
      <c r="T58" s="26">
        <v>7</v>
      </c>
      <c r="U58" s="27"/>
    </row>
    <row r="61" spans="1:22">
      <c r="A61" s="40" t="s">
        <v>93</v>
      </c>
      <c r="B61" s="40"/>
      <c r="C61" s="40"/>
      <c r="D61" s="40">
        <f>SUM(D3:E58)</f>
        <v>1583</v>
      </c>
      <c r="E61" s="40"/>
      <c r="F61" s="40">
        <f t="shared" ref="F61:U61" si="0">SUM(F3:G58)</f>
        <v>1077</v>
      </c>
      <c r="G61" s="40"/>
      <c r="H61" s="40">
        <f t="shared" ref="H61:U61" si="1">SUM(H3:I58)</f>
        <v>3649</v>
      </c>
      <c r="I61" s="40"/>
      <c r="J61" s="40">
        <f t="shared" ref="J61:U61" si="2">SUM(J3:K58)</f>
        <v>2156</v>
      </c>
      <c r="K61" s="40"/>
      <c r="L61" s="40">
        <f t="shared" ref="L61:U61" si="3">SUM(L3:M58)</f>
        <v>1800</v>
      </c>
      <c r="M61" s="40"/>
      <c r="N61" s="40">
        <f t="shared" ref="N61:U61" si="4">SUM(N3:O58)</f>
        <v>1669</v>
      </c>
      <c r="O61" s="40"/>
      <c r="P61" s="40">
        <f t="shared" ref="P61:U61" si="5">SUM(P3:Q58)</f>
        <v>651</v>
      </c>
      <c r="Q61" s="40"/>
      <c r="R61" s="40">
        <f t="shared" ref="R61:U61" si="6">SUM(R3:S58)</f>
        <v>312</v>
      </c>
      <c r="S61" s="40"/>
      <c r="T61" s="40">
        <f t="shared" ref="T61:U61" si="7">SUM(T3:U58)</f>
        <v>299</v>
      </c>
      <c r="U61" s="40"/>
      <c r="V61">
        <f>SUM(D61:U61)</f>
        <v>13196</v>
      </c>
    </row>
    <row r="62" spans="1:22">
      <c r="A62" s="35" t="s">
        <v>94</v>
      </c>
      <c r="B62" s="36"/>
      <c r="C62" s="36"/>
      <c r="D62" s="37">
        <f>D61/(SUM($D$61:$Q$61))</f>
        <v>0.12578466428287643</v>
      </c>
      <c r="E62" s="37"/>
      <c r="F62" s="37">
        <f t="shared" ref="F62" si="8">F61/(SUM($D$61:$Q$61))</f>
        <v>8.557806912991657E-2</v>
      </c>
      <c r="G62" s="37"/>
      <c r="H62" s="37">
        <f t="shared" ref="H62" si="9">H61/(SUM($D$61:$Q$61))</f>
        <v>0.28994835121176005</v>
      </c>
      <c r="I62" s="37"/>
      <c r="J62" s="37">
        <f t="shared" ref="J62" si="10">J61/(SUM($D$61:$Q$61))</f>
        <v>0.17131505760826379</v>
      </c>
      <c r="K62" s="37"/>
      <c r="L62" s="37">
        <f t="shared" ref="L62" si="11">L61/(SUM($D$61:$Q$61))</f>
        <v>0.14302741358760429</v>
      </c>
      <c r="M62" s="37"/>
      <c r="N62" s="37">
        <f t="shared" ref="N62" si="12">N61/(SUM($D$61:$Q$61))</f>
        <v>0.13261819626539531</v>
      </c>
      <c r="O62" s="37"/>
      <c r="P62" s="37">
        <f t="shared" ref="P62" si="13">P61/(SUM($D$61:$Q$61))</f>
        <v>5.1728247914183553E-2</v>
      </c>
      <c r="Q62" s="38"/>
    </row>
  </sheetData>
  <mergeCells count="72">
    <mergeCell ref="B8:B12"/>
    <mergeCell ref="A1:A2"/>
    <mergeCell ref="B1:B2"/>
    <mergeCell ref="C1:C2"/>
    <mergeCell ref="B3:B5"/>
    <mergeCell ref="B6:B7"/>
    <mergeCell ref="B55:B57"/>
    <mergeCell ref="B14:B18"/>
    <mergeCell ref="B19:B23"/>
    <mergeCell ref="B25:B26"/>
    <mergeCell ref="B27:B29"/>
    <mergeCell ref="B30:B35"/>
    <mergeCell ref="B36:B37"/>
    <mergeCell ref="B39:B40"/>
    <mergeCell ref="B41:B45"/>
    <mergeCell ref="B46:B47"/>
    <mergeCell ref="B48:B49"/>
    <mergeCell ref="B51:B52"/>
    <mergeCell ref="T18:U18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D18:E18"/>
    <mergeCell ref="J18:K18"/>
    <mergeCell ref="L18:M18"/>
    <mergeCell ref="F18:G18"/>
    <mergeCell ref="H18:I18"/>
    <mergeCell ref="N18:O18"/>
    <mergeCell ref="T37:U37"/>
    <mergeCell ref="R58:S58"/>
    <mergeCell ref="T58:U58"/>
    <mergeCell ref="N58:O58"/>
    <mergeCell ref="P58:Q58"/>
    <mergeCell ref="P18:Q18"/>
    <mergeCell ref="N37:O37"/>
    <mergeCell ref="P37:Q37"/>
    <mergeCell ref="R37:S37"/>
    <mergeCell ref="R18:S18"/>
    <mergeCell ref="F37:G37"/>
    <mergeCell ref="H37:I37"/>
    <mergeCell ref="D37:E37"/>
    <mergeCell ref="D58:E58"/>
    <mergeCell ref="L62:M62"/>
    <mergeCell ref="J37:K37"/>
    <mergeCell ref="L37:M37"/>
    <mergeCell ref="N62:O62"/>
    <mergeCell ref="J58:K58"/>
    <mergeCell ref="L58:M58"/>
    <mergeCell ref="F58:G58"/>
    <mergeCell ref="H58:I58"/>
    <mergeCell ref="R61:S61"/>
    <mergeCell ref="T61:U61"/>
    <mergeCell ref="P62:Q62"/>
    <mergeCell ref="A61:C61"/>
    <mergeCell ref="D61:E61"/>
    <mergeCell ref="F61:G61"/>
    <mergeCell ref="H61:I61"/>
    <mergeCell ref="J61:K61"/>
    <mergeCell ref="A62:C62"/>
    <mergeCell ref="D62:E62"/>
    <mergeCell ref="F62:G62"/>
    <mergeCell ref="H62:I62"/>
    <mergeCell ref="J62:K62"/>
    <mergeCell ref="L61:M61"/>
    <mergeCell ref="N61:O61"/>
    <mergeCell ref="P61:Q61"/>
  </mergeCells>
  <pageMargins left="0.7" right="0.7" top="0.75" bottom="0.75" header="0.3" footer="0.3"/>
  <ignoredErrors>
    <ignoredError sqref="F62:G62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85183AD6627949844501F0DEBCAB44" ma:contentTypeVersion="14" ma:contentTypeDescription="Crear nuevo documento." ma:contentTypeScope="" ma:versionID="511d46b13b882ded8fa3ca02793f1978">
  <xsd:schema xmlns:xsd="http://www.w3.org/2001/XMLSchema" xmlns:xs="http://www.w3.org/2001/XMLSchema" xmlns:p="http://schemas.microsoft.com/office/2006/metadata/properties" xmlns:ns2="0805ad4a-c17a-48da-b73e-e187d25879d9" xmlns:ns3="6999fea7-d83e-4c34-95e7-cfd0dd6fc289" targetNamespace="http://schemas.microsoft.com/office/2006/metadata/properties" ma:root="true" ma:fieldsID="93e01bc35924eed309cc9a709a795abf" ns2:_="" ns3:_="">
    <xsd:import namespace="0805ad4a-c17a-48da-b73e-e187d25879d9"/>
    <xsd:import namespace="6999fea7-d83e-4c34-95e7-cfd0dd6fc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5ad4a-c17a-48da-b73e-e187d2587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9fea7-d83e-4c34-95e7-cfd0dd6fc2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4dbf65-60ba-4793-a7f5-e31f44d6270b}" ma:internalName="TaxCatchAll" ma:showField="CatchAllData" ma:web="6999fea7-d83e-4c34-95e7-cfd0dd6fc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0D82F1-2B3E-46FA-8DF3-51B588B585AB}"/>
</file>

<file path=customXml/itemProps2.xml><?xml version="1.0" encoding="utf-8"?>
<ds:datastoreItem xmlns:ds="http://schemas.openxmlformats.org/officeDocument/2006/customXml" ds:itemID="{0F02EC3B-BA39-4E87-A392-C51C19CFF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2023-10-23T23:17:22Z</dcterms:created>
  <dcterms:modified xsi:type="dcterms:W3CDTF">2026-02-08T21:26:05Z</dcterms:modified>
  <cp:category/>
  <cp:contentStatus/>
</cp:coreProperties>
</file>